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ubham_Bisht\Downloads\"/>
    </mc:Choice>
  </mc:AlternateContent>
  <xr:revisionPtr revIDLastSave="0" documentId="13_ncr:1_{CEFDD562-9837-405D-B70A-51354C3ED981}" xr6:coauthVersionLast="47" xr6:coauthVersionMax="47" xr10:uidLastSave="{00000000-0000-0000-0000-000000000000}"/>
  <bookViews>
    <workbookView xWindow="-113" yWindow="-113" windowWidth="24267" windowHeight="13749" xr2:uid="{00000000-000D-0000-FFFF-FFFF00000000}"/>
  </bookViews>
  <sheets>
    <sheet name="Core HTMLCSS" sheetId="1" r:id="rId1"/>
    <sheet name="Resul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K43" i="1"/>
  <c r="J43" i="1"/>
  <c r="J33" i="1"/>
  <c r="K21" i="1"/>
  <c r="J21" i="1"/>
  <c r="K10" i="1"/>
  <c r="J10" i="1"/>
  <c r="B9" i="1"/>
  <c r="B10" i="1"/>
  <c r="B11" i="1"/>
  <c r="B12" i="1"/>
  <c r="B13" i="1"/>
  <c r="B14" i="1"/>
  <c r="B15" i="1"/>
  <c r="B17" i="1"/>
  <c r="B18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43" i="1"/>
  <c r="B44" i="1"/>
  <c r="B45" i="1"/>
  <c r="B46" i="1"/>
  <c r="C5" i="4"/>
  <c r="B5" i="4"/>
  <c r="B4" i="4"/>
  <c r="J4" i="1"/>
  <c r="K4" i="1"/>
  <c r="K3" i="1" l="1"/>
  <c r="C7" i="4"/>
  <c r="C6" i="4" s="1"/>
  <c r="J3" i="1"/>
  <c r="B7" i="4"/>
  <c r="B6" i="4" s="1"/>
</calcChain>
</file>

<file path=xl/sharedStrings.xml><?xml version="1.0" encoding="utf-8"?>
<sst xmlns="http://schemas.openxmlformats.org/spreadsheetml/2006/main" count="63" uniqueCount="59">
  <si>
    <r>
      <rPr>
        <b/>
        <sz val="12"/>
        <color rgb="FF000000"/>
        <rFont val="Calibri"/>
      </rPr>
      <t xml:space="preserve">Marks 
</t>
    </r>
    <r>
      <rPr>
        <sz val="10"/>
        <color rgb="FF000000"/>
        <rFont val="Calibri"/>
      </rPr>
      <t xml:space="preserve">
0 — has no idea about the topic 
1 — has some theoretical knowledge and can do simple tasks and understand code samples 
2 — can do normal tasks without being constantly supervised 
3 — has appropriate experience and can perform the majority of real-life tasks 
4 — has deep understanding, knows underwater stones, can mentor and educate</t>
    </r>
  </si>
  <si>
    <t xml:space="preserve">Legend :  </t>
  </si>
  <si>
    <t>Lesser important</t>
  </si>
  <si>
    <t>Min 
score</t>
  </si>
  <si>
    <t>Result</t>
  </si>
  <si>
    <t>Important</t>
  </si>
  <si>
    <t>Version 0.11.0</t>
  </si>
  <si>
    <t>Very important</t>
  </si>
  <si>
    <t>'Core HTML / CSS' - evaluation matrix</t>
  </si>
  <si>
    <t>UX developer</t>
  </si>
  <si>
    <t>FE</t>
  </si>
  <si>
    <t>Level</t>
  </si>
  <si>
    <t>2020-Q2</t>
  </si>
  <si>
    <t>&lt;- assessment date</t>
  </si>
  <si>
    <t>&lt;- assessment levels</t>
  </si>
  <si>
    <t>HTML + CSS (layout coding)</t>
  </si>
  <si>
    <t>+</t>
  </si>
  <si>
    <t>Basic</t>
  </si>
  <si>
    <t>Basic HTML Page Structure</t>
  </si>
  <si>
    <t>&lt;- skill check result</t>
  </si>
  <si>
    <t>Document Type Definition, HTML, XHTML</t>
  </si>
  <si>
    <t>Metadata, Styles, Scripts</t>
  </si>
  <si>
    <t>Text Formatting Tags And CSS Text Formatting</t>
  </si>
  <si>
    <t>Table</t>
  </si>
  <si>
    <t>Form, Input Tags</t>
  </si>
  <si>
    <t>CSS Rules, Selectors</t>
  </si>
  <si>
    <t>CSS Decoration (border, background, text-decoration, text-transform)</t>
  </si>
  <si>
    <t>Box and Text Shadow</t>
  </si>
  <si>
    <t>CSS Units</t>
  </si>
  <si>
    <t>Intermediate</t>
  </si>
  <si>
    <t>HTML5 Tags</t>
  </si>
  <si>
    <t>HTML5 Input Tags</t>
  </si>
  <si>
    <t>CSS Standart And Box Model</t>
  </si>
  <si>
    <t>Positioning</t>
  </si>
  <si>
    <t>Markup Layout</t>
  </si>
  <si>
    <t>Display</t>
  </si>
  <si>
    <t>Pseudo-classes (:first-child, :last-child, etc)</t>
  </si>
  <si>
    <t>Pseudo-elements (::before, ::after, etc)</t>
  </si>
  <si>
    <t>Cascading and Inheritance</t>
  </si>
  <si>
    <t>Fonts (system fonts, @font-face)</t>
  </si>
  <si>
    <t>Opacity</t>
  </si>
  <si>
    <t>Advanced</t>
  </si>
  <si>
    <t>Attribute selectors (^=, *=, etc)</t>
  </si>
  <si>
    <t>CSS3 transform, transition, animation, resize</t>
  </si>
  <si>
    <t>Flexible Box Model</t>
  </si>
  <si>
    <t>Media-queries</t>
  </si>
  <si>
    <t>Responsive design</t>
  </si>
  <si>
    <t>Viewport</t>
  </si>
  <si>
    <t>Less, Sass, Stylus</t>
  </si>
  <si>
    <t>Accessibility</t>
  </si>
  <si>
    <t>PostCSS</t>
  </si>
  <si>
    <t>Bonus</t>
  </si>
  <si>
    <t>HAML and other templating languages</t>
  </si>
  <si>
    <t>Css frameworks (Twitter Bootstrap, Foundation and etc.)</t>
  </si>
  <si>
    <t>Collectors (Grunt, Gulp, Brunch and etc.)</t>
  </si>
  <si>
    <t>CSS3 Pie and other CSS polyfills (+ms filters for older IE versions)</t>
  </si>
  <si>
    <t>Total</t>
  </si>
  <si>
    <t>'Core HTML / CSS'</t>
  </si>
  <si>
    <t>Name 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</si>
</sst>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color rgb="FFFA7D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u/>
      <sz val="12"/>
      <name val="Calibri"/>
      <family val="2"/>
      <charset val="204"/>
    </font>
    <font>
      <b/>
      <sz val="50"/>
      <color theme="0" tint="-0.249977111117893"/>
      <name val="Calibri"/>
      <family val="2"/>
    </font>
    <font>
      <b/>
      <sz val="50"/>
      <color theme="1"/>
      <name val="Calibri"/>
      <family val="2"/>
      <scheme val="minor"/>
    </font>
    <font>
      <b/>
      <sz val="50"/>
      <color rgb="FFFA7D00"/>
      <name val="Calibri"/>
      <family val="2"/>
      <scheme val="minor"/>
    </font>
    <font>
      <b/>
      <sz val="50"/>
      <name val="Calibri"/>
      <family val="2"/>
    </font>
    <font>
      <b/>
      <sz val="50"/>
      <color theme="0" tint="-4.9989318521683403E-2"/>
      <name val="Calibri"/>
      <family val="2"/>
      <scheme val="minor"/>
    </font>
    <font>
      <b/>
      <sz val="12"/>
      <name val="Calibri"/>
      <family val="2"/>
      <charset val="204"/>
    </font>
    <font>
      <sz val="9"/>
      <name val="Arial"/>
      <family val="2"/>
    </font>
    <font>
      <sz val="10"/>
      <name val="Arial"/>
      <family val="2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none"/>
    </fill>
    <fill>
      <patternFill patternType="solid">
        <fgColor rgb="FFB7B7B7"/>
        <bgColor rgb="FFB7B7B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CCC1DA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rgb="FFCCCCFF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auto="1"/>
      </bottom>
      <diagonal/>
    </border>
    <border>
      <left/>
      <right style="dotted">
        <color indexed="64"/>
      </right>
      <top style="dotted">
        <color indexed="64"/>
      </top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auto="1"/>
      </bottom>
      <diagonal/>
    </border>
    <border>
      <left/>
      <right style="dotted">
        <color indexed="64"/>
      </right>
      <top/>
      <bottom style="hair">
        <color auto="1"/>
      </bottom>
      <diagonal/>
    </border>
    <border>
      <left style="thin">
        <color indexed="64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9" fontId="5" fillId="9" borderId="13" xfId="6" applyNumberFormat="1" applyBorder="1" applyAlignment="1">
      <alignment horizontal="center"/>
    </xf>
    <xf numFmtId="0" fontId="10" fillId="0" borderId="0" xfId="0" applyFont="1"/>
    <xf numFmtId="9" fontId="7" fillId="14" borderId="0" xfId="0" applyNumberFormat="1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0" fillId="16" borderId="1" xfId="0" applyFill="1" applyBorder="1"/>
    <xf numFmtId="0" fontId="0" fillId="16" borderId="0" xfId="0" applyFill="1"/>
    <xf numFmtId="0" fontId="7" fillId="16" borderId="8" xfId="0" applyFont="1" applyFill="1" applyBorder="1" applyAlignment="1">
      <alignment horizontal="center"/>
    </xf>
    <xf numFmtId="0" fontId="7" fillId="16" borderId="4" xfId="0" applyFont="1" applyFill="1" applyBorder="1" applyAlignment="1">
      <alignment horizontal="center"/>
    </xf>
    <xf numFmtId="164" fontId="1" fillId="17" borderId="5" xfId="2" applyNumberFormat="1" applyFill="1" applyBorder="1" applyAlignment="1">
      <alignment horizontal="center" vertical="center"/>
    </xf>
    <xf numFmtId="164" fontId="1" fillId="17" borderId="6" xfId="2" applyNumberFormat="1" applyFill="1" applyBorder="1" applyAlignment="1">
      <alignment horizontal="center" vertical="center"/>
    </xf>
    <xf numFmtId="0" fontId="1" fillId="17" borderId="6" xfId="2" applyFill="1" applyBorder="1"/>
    <xf numFmtId="0" fontId="1" fillId="17" borderId="7" xfId="2" applyFill="1" applyBorder="1"/>
    <xf numFmtId="164" fontId="1" fillId="18" borderId="3" xfId="5" applyNumberFormat="1" applyFill="1" applyBorder="1" applyAlignment="1">
      <alignment horizontal="center" vertical="center"/>
    </xf>
    <xf numFmtId="164" fontId="1" fillId="18" borderId="1" xfId="5" applyNumberFormat="1" applyFill="1" applyBorder="1" applyAlignment="1">
      <alignment horizontal="center" vertical="center"/>
    </xf>
    <xf numFmtId="0" fontId="1" fillId="18" borderId="1" xfId="5" applyFill="1" applyBorder="1"/>
    <xf numFmtId="0" fontId="1" fillId="18" borderId="8" xfId="5" applyFill="1" applyBorder="1"/>
    <xf numFmtId="0" fontId="13" fillId="4" borderId="14" xfId="1" applyFont="1" applyBorder="1" applyAlignment="1">
      <alignment horizontal="center"/>
    </xf>
    <xf numFmtId="0" fontId="10" fillId="16" borderId="1" xfId="0" applyFont="1" applyFill="1" applyBorder="1"/>
    <xf numFmtId="164" fontId="1" fillId="19" borderId="9" xfId="3" applyNumberFormat="1" applyFill="1" applyBorder="1" applyAlignment="1">
      <alignment horizontal="center" vertical="center"/>
    </xf>
    <xf numFmtId="164" fontId="1" fillId="19" borderId="10" xfId="3" applyNumberFormat="1" applyFill="1" applyBorder="1" applyAlignment="1">
      <alignment horizontal="center" vertical="center"/>
    </xf>
    <xf numFmtId="0" fontId="1" fillId="19" borderId="10" xfId="3" applyFill="1" applyBorder="1"/>
    <xf numFmtId="0" fontId="1" fillId="19" borderId="11" xfId="3" applyFill="1" applyBorder="1"/>
    <xf numFmtId="0" fontId="2" fillId="16" borderId="1" xfId="0" applyFont="1" applyFill="1" applyBorder="1" applyAlignment="1">
      <alignment horizontal="center"/>
    </xf>
    <xf numFmtId="0" fontId="4" fillId="16" borderId="6" xfId="1" applyFill="1" applyBorder="1" applyAlignment="1"/>
    <xf numFmtId="0" fontId="14" fillId="10" borderId="5" xfId="0" quotePrefix="1" applyFont="1" applyFill="1" applyBorder="1" applyAlignment="1">
      <alignment horizontal="center"/>
    </xf>
    <xf numFmtId="0" fontId="6" fillId="10" borderId="3" xfId="0" applyFont="1" applyFill="1" applyBorder="1" applyAlignment="1">
      <alignment vertical="center"/>
    </xf>
    <xf numFmtId="0" fontId="6" fillId="10" borderId="19" xfId="0" applyFont="1" applyFill="1" applyBorder="1" applyAlignment="1">
      <alignment vertical="center"/>
    </xf>
    <xf numFmtId="0" fontId="6" fillId="10" borderId="20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center"/>
    </xf>
    <xf numFmtId="0" fontId="6" fillId="10" borderId="22" xfId="0" applyFont="1" applyFill="1" applyBorder="1" applyAlignment="1">
      <alignment horizontal="center"/>
    </xf>
    <xf numFmtId="0" fontId="6" fillId="15" borderId="23" xfId="0" applyFont="1" applyFill="1" applyBorder="1" applyAlignment="1">
      <alignment horizontal="center"/>
    </xf>
    <xf numFmtId="0" fontId="7" fillId="20" borderId="3" xfId="0" applyFont="1" applyFill="1" applyBorder="1" applyAlignment="1">
      <alignment horizontal="center"/>
    </xf>
    <xf numFmtId="0" fontId="3" fillId="3" borderId="24" xfId="0" applyFont="1" applyFill="1" applyBorder="1"/>
    <xf numFmtId="0" fontId="3" fillId="3" borderId="25" xfId="0" applyFont="1" applyFill="1" applyBorder="1"/>
    <xf numFmtId="0" fontId="3" fillId="3" borderId="26" xfId="0" applyFont="1" applyFill="1" applyBorder="1"/>
    <xf numFmtId="0" fontId="3" fillId="3" borderId="8" xfId="0" applyFont="1" applyFill="1" applyBorder="1"/>
    <xf numFmtId="0" fontId="3" fillId="3" borderId="1" xfId="0" applyFont="1" applyFill="1" applyBorder="1"/>
    <xf numFmtId="0" fontId="7" fillId="16" borderId="3" xfId="0" quotePrefix="1" applyFont="1" applyFill="1" applyBorder="1" applyAlignment="1">
      <alignment horizontal="center"/>
    </xf>
    <xf numFmtId="0" fontId="9" fillId="0" borderId="27" xfId="0" applyFont="1" applyBorder="1" applyAlignment="1">
      <alignment horizontal="left" vertical="center" indent="1"/>
    </xf>
    <xf numFmtId="164" fontId="7" fillId="13" borderId="28" xfId="7" applyNumberFormat="1" applyFont="1" applyFill="1" applyBorder="1" applyAlignment="1">
      <alignment horizontal="center"/>
    </xf>
    <xf numFmtId="164" fontId="7" fillId="13" borderId="28" xfId="0" applyNumberFormat="1" applyFont="1" applyFill="1" applyBorder="1" applyAlignment="1">
      <alignment horizontal="center"/>
    </xf>
    <xf numFmtId="0" fontId="7" fillId="16" borderId="4" xfId="0" quotePrefix="1" applyFont="1" applyFill="1" applyBorder="1" applyAlignment="1">
      <alignment horizontal="center"/>
    </xf>
    <xf numFmtId="9" fontId="1" fillId="7" borderId="29" xfId="4" applyNumberFormat="1" applyBorder="1" applyAlignment="1">
      <alignment horizontal="center"/>
    </xf>
    <xf numFmtId="0" fontId="8" fillId="0" borderId="19" xfId="0" applyFont="1" applyBorder="1" applyAlignment="1">
      <alignment horizontal="left" indent="2"/>
    </xf>
    <xf numFmtId="0" fontId="8" fillId="12" borderId="30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8" fillId="12" borderId="22" xfId="0" applyFont="1" applyFill="1" applyBorder="1" applyAlignment="1">
      <alignment horizontal="center"/>
    </xf>
    <xf numFmtId="0" fontId="8" fillId="0" borderId="32" xfId="0" applyFont="1" applyBorder="1" applyAlignment="1">
      <alignment horizontal="left" indent="2"/>
    </xf>
    <xf numFmtId="0" fontId="8" fillId="12" borderId="33" xfId="0" applyFont="1" applyFill="1" applyBorder="1" applyAlignment="1">
      <alignment horizontal="center"/>
    </xf>
    <xf numFmtId="0" fontId="8" fillId="12" borderId="34" xfId="0" applyFont="1" applyFill="1" applyBorder="1" applyAlignment="1">
      <alignment horizontal="center"/>
    </xf>
    <xf numFmtId="0" fontId="8" fillId="12" borderId="35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3" fillId="3" borderId="27" xfId="0" applyFont="1" applyFill="1" applyBorder="1"/>
    <xf numFmtId="2" fontId="3" fillId="3" borderId="36" xfId="7" applyNumberFormat="1" applyFont="1" applyFill="1" applyBorder="1" applyAlignment="1"/>
    <xf numFmtId="9" fontId="7" fillId="14" borderId="29" xfId="0" applyNumberFormat="1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7" fillId="16" borderId="37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8" fillId="15" borderId="23" xfId="0" applyFont="1" applyFill="1" applyBorder="1" applyAlignment="1">
      <alignment horizontal="center"/>
    </xf>
    <xf numFmtId="0" fontId="19" fillId="4" borderId="38" xfId="1" applyFont="1" applyBorder="1" applyAlignment="1">
      <alignment horizontal="center"/>
    </xf>
    <xf numFmtId="9" fontId="17" fillId="4" borderId="38" xfId="7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0" borderId="39" xfId="0" applyFont="1" applyBorder="1" applyAlignment="1">
      <alignment horizontal="left" indent="2"/>
    </xf>
    <xf numFmtId="0" fontId="8" fillId="12" borderId="26" xfId="0" applyFont="1" applyFill="1" applyBorder="1" applyAlignment="1">
      <alignment horizontal="center"/>
    </xf>
    <xf numFmtId="9" fontId="4" fillId="4" borderId="40" xfId="7" applyFont="1" applyFill="1" applyBorder="1" applyAlignment="1">
      <alignment horizontal="center"/>
    </xf>
    <xf numFmtId="0" fontId="22" fillId="0" borderId="24" xfId="0" applyFont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2" borderId="1" xfId="0" applyFont="1" applyFill="1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7" fillId="16" borderId="1" xfId="0" applyFont="1" applyFill="1" applyBorder="1" applyAlignment="1">
      <alignment horizontal="left" vertical="top" wrapText="1"/>
    </xf>
    <xf numFmtId="0" fontId="12" fillId="4" borderId="2" xfId="1" applyFont="1" applyAlignment="1">
      <alignment horizontal="center"/>
    </xf>
    <xf numFmtId="0" fontId="6" fillId="10" borderId="15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/>
    </xf>
    <xf numFmtId="0" fontId="6" fillId="15" borderId="18" xfId="0" applyFont="1" applyFill="1" applyBorder="1" applyAlignment="1">
      <alignment horizontal="center"/>
    </xf>
    <xf numFmtId="0" fontId="25" fillId="16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left" vertical="top" wrapText="1"/>
    </xf>
    <xf numFmtId="0" fontId="6" fillId="16" borderId="8" xfId="0" applyFont="1" applyFill="1" applyBorder="1" applyAlignment="1">
      <alignment horizontal="right"/>
    </xf>
    <xf numFmtId="0" fontId="7" fillId="11" borderId="12" xfId="0" applyFont="1" applyFill="1" applyBorder="1" applyAlignment="1">
      <alignment horizontal="center" wrapText="1"/>
    </xf>
    <xf numFmtId="0" fontId="7" fillId="11" borderId="4" xfId="0" applyFont="1" applyFill="1" applyBorder="1" applyAlignment="1">
      <alignment horizontal="center" wrapText="1"/>
    </xf>
    <xf numFmtId="0" fontId="20" fillId="10" borderId="41" xfId="0" applyFont="1" applyFill="1" applyBorder="1" applyAlignment="1">
      <alignment horizontal="center"/>
    </xf>
    <xf numFmtId="0" fontId="20" fillId="10" borderId="42" xfId="0" applyFont="1" applyFill="1" applyBorder="1" applyAlignment="1">
      <alignment horizontal="center"/>
    </xf>
    <xf numFmtId="0" fontId="14" fillId="10" borderId="6" xfId="0" applyFont="1" applyFill="1" applyBorder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15" fillId="22" borderId="17" xfId="0" quotePrefix="1" applyFont="1" applyFill="1" applyBorder="1" applyAlignment="1">
      <alignment horizontal="center"/>
    </xf>
    <xf numFmtId="0" fontId="15" fillId="22" borderId="18" xfId="0" applyFont="1" applyFill="1" applyBorder="1" applyAlignment="1">
      <alignment horizontal="center"/>
    </xf>
    <xf numFmtId="0" fontId="16" fillId="4" borderId="38" xfId="1" applyFont="1" applyBorder="1" applyAlignment="1">
      <alignment horizontal="center"/>
    </xf>
    <xf numFmtId="0" fontId="17" fillId="4" borderId="38" xfId="1" applyFont="1" applyBorder="1" applyAlignment="1">
      <alignment horizontal="center"/>
    </xf>
  </cellXfs>
  <cellStyles count="8">
    <cellStyle name="40% - Accent1" xfId="2" builtinId="31"/>
    <cellStyle name="40% - Accent2" xfId="3" builtinId="35"/>
    <cellStyle name="40% - Accent3" xfId="4" builtinId="39"/>
    <cellStyle name="40% - Accent4" xfId="5" builtinId="43"/>
    <cellStyle name="Accent6" xfId="6" builtinId="49"/>
    <cellStyle name="Calculation" xfId="1" builtinId="22"/>
    <cellStyle name="Normal" xfId="0" builtinId="0"/>
    <cellStyle name="Per cent" xfId="7" builtinId="5"/>
  </cellStyles>
  <dxfs count="47"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N413"/>
  <sheetViews>
    <sheetView tabSelected="1" workbookViewId="0">
      <selection activeCell="J35" sqref="J35"/>
    </sheetView>
  </sheetViews>
  <sheetFormatPr defaultColWidth="14.42578125" defaultRowHeight="15.95" customHeight="1" outlineLevelRow="1"/>
  <cols>
    <col min="1" max="1" width="2.42578125" style="5" customWidth="1"/>
    <col min="2" max="2" width="2.42578125" style="5" hidden="1" customWidth="1"/>
    <col min="3" max="3" width="91.5703125" style="1" customWidth="1"/>
    <col min="4" max="7" width="7.42578125" customWidth="1"/>
    <col min="8" max="8" width="7.42578125" style="1" customWidth="1"/>
    <col min="9" max="9" width="2.140625" style="5" customWidth="1"/>
    <col min="10" max="10" width="7.42578125" style="1" customWidth="1"/>
    <col min="11" max="11" width="7.42578125" customWidth="1"/>
    <col min="12" max="12" width="2.42578125" style="5" customWidth="1"/>
    <col min="13" max="13" width="20.42578125" customWidth="1"/>
    <col min="14" max="14" width="2.42578125" style="5" customWidth="1"/>
  </cols>
  <sheetData>
    <row r="1" spans="1:14" ht="99.2" customHeight="1">
      <c r="A1" s="6"/>
      <c r="B1" s="7"/>
      <c r="C1" s="87" t="s">
        <v>0</v>
      </c>
      <c r="D1" s="88"/>
      <c r="E1" s="88"/>
      <c r="F1" s="88"/>
      <c r="G1" s="88"/>
      <c r="H1" s="88"/>
      <c r="I1" s="7"/>
      <c r="J1" s="8"/>
      <c r="K1" s="9"/>
      <c r="L1" s="10"/>
      <c r="N1" s="11"/>
    </row>
    <row r="2" spans="1:14" ht="18.75" customHeight="1">
      <c r="A2" s="6"/>
      <c r="B2" s="7"/>
      <c r="C2" s="89" t="s">
        <v>1</v>
      </c>
      <c r="D2" s="12">
        <v>0.09</v>
      </c>
      <c r="E2" s="13">
        <v>0.9</v>
      </c>
      <c r="F2" s="14" t="s">
        <v>2</v>
      </c>
      <c r="G2" s="15"/>
      <c r="H2" s="90" t="s">
        <v>3</v>
      </c>
      <c r="I2" s="11"/>
      <c r="J2" s="82" t="s">
        <v>4</v>
      </c>
      <c r="K2" s="82"/>
      <c r="L2" s="11"/>
      <c r="M2" s="3"/>
      <c r="N2" s="11"/>
    </row>
    <row r="3" spans="1:14" ht="18.75" customHeight="1">
      <c r="A3" s="6"/>
      <c r="B3" s="7"/>
      <c r="C3" s="89"/>
      <c r="D3" s="16">
        <v>0.91</v>
      </c>
      <c r="E3" s="17">
        <v>1.2</v>
      </c>
      <c r="F3" s="18" t="s">
        <v>5</v>
      </c>
      <c r="G3" s="19"/>
      <c r="H3" s="91"/>
      <c r="I3" s="11"/>
      <c r="J3" s="20">
        <f ca="1">IF(J4&gt;=$H$4,1,0)</f>
        <v>1</v>
      </c>
      <c r="K3" s="20">
        <f ca="1">IF(K4&gt;=$H$4,1,0)</f>
        <v>0</v>
      </c>
      <c r="L3" s="11"/>
      <c r="M3" s="3"/>
      <c r="N3" s="11"/>
    </row>
    <row r="4" spans="1:14" ht="18.75" customHeight="1">
      <c r="A4" s="6"/>
      <c r="B4" s="7"/>
      <c r="C4" s="21" t="s">
        <v>6</v>
      </c>
      <c r="D4" s="22">
        <v>1.21</v>
      </c>
      <c r="E4" s="23">
        <v>2</v>
      </c>
      <c r="F4" s="24" t="s">
        <v>7</v>
      </c>
      <c r="G4" s="25"/>
      <c r="H4" s="2">
        <v>0.75</v>
      </c>
      <c r="I4" s="11"/>
      <c r="J4" s="72">
        <f ca="1">SUMPRODUCT(J$9:J541,$B$9:$B541,OFFSET(INDIRECT(CONCATENATE("R8C",IF($J$6="FE",3,9)+J$8),FALSE),1,0,533,1))/SUMPRODUCT($B$9:$B541,OFFSET(INDIRECT(CONCATENATE("R8C",IF($J$6="FE",3,9)+J$8),FALSE),1,0,533,1))</f>
        <v>0.95797720797720798</v>
      </c>
      <c r="K4" s="72">
        <f ca="1">SUMPRODUCT(K$9:K541,$B$9:$B541,OFFSET(INDIRECT(CONCATENATE("R8C",IF($J$6="FE",3,9)+K$8),FALSE),1,0,533,1))/SUMPRODUCT($B$9:$B541,OFFSET(INDIRECT(CONCATENATE("R8C",IF($J$6="FE",3,9)+K$8),FALSE),1,0,533,1))</f>
        <v>0</v>
      </c>
      <c r="L4" s="11"/>
      <c r="M4" s="3"/>
      <c r="N4" s="11"/>
    </row>
    <row r="5" spans="1:14" ht="15">
      <c r="A5" s="6"/>
      <c r="B5" s="7"/>
      <c r="C5" s="21"/>
      <c r="D5" s="26"/>
      <c r="E5" s="26"/>
      <c r="F5" s="26"/>
      <c r="G5" s="26"/>
      <c r="H5" s="81"/>
      <c r="I5" s="7"/>
      <c r="J5" s="27"/>
      <c r="K5" s="27"/>
      <c r="L5" s="10"/>
      <c r="M5" s="3"/>
      <c r="N5" s="11"/>
    </row>
    <row r="6" spans="1:14" ht="16.350000000000001" thickBot="1">
      <c r="A6" s="6"/>
      <c r="B6" s="6"/>
      <c r="C6" s="28" t="s">
        <v>8</v>
      </c>
      <c r="D6" s="94" t="s">
        <v>9</v>
      </c>
      <c r="E6" s="94"/>
      <c r="F6" s="94"/>
      <c r="G6" s="94"/>
      <c r="H6" s="95"/>
      <c r="I6" s="6"/>
      <c r="J6" s="92" t="s">
        <v>10</v>
      </c>
      <c r="K6" s="93"/>
      <c r="L6" s="10"/>
      <c r="M6" s="3"/>
      <c r="N6" s="11"/>
    </row>
    <row r="7" spans="1:14" ht="16.350000000000001" thickTop="1" thickBot="1">
      <c r="A7" s="6"/>
      <c r="B7" s="6"/>
      <c r="C7" s="29"/>
      <c r="D7" s="83" t="s">
        <v>11</v>
      </c>
      <c r="E7" s="83"/>
      <c r="F7" s="83"/>
      <c r="G7" s="83"/>
      <c r="H7" s="84"/>
      <c r="I7" s="6"/>
      <c r="J7" s="85" t="s">
        <v>12</v>
      </c>
      <c r="K7" s="86"/>
      <c r="L7" s="10"/>
      <c r="M7" s="3" t="s">
        <v>13</v>
      </c>
      <c r="N7" s="11"/>
    </row>
    <row r="8" spans="1:14" ht="16.350000000000001" thickTop="1" thickBot="1">
      <c r="A8" s="6"/>
      <c r="B8" s="6"/>
      <c r="C8" s="30"/>
      <c r="D8" s="31">
        <v>1</v>
      </c>
      <c r="E8" s="31">
        <v>2</v>
      </c>
      <c r="F8" s="31">
        <v>3</v>
      </c>
      <c r="G8" s="32">
        <v>4</v>
      </c>
      <c r="H8" s="33">
        <v>5</v>
      </c>
      <c r="I8" s="6"/>
      <c r="J8" s="34">
        <v>1</v>
      </c>
      <c r="K8" s="34">
        <v>2</v>
      </c>
      <c r="L8" s="10"/>
      <c r="M8" s="3" t="s">
        <v>14</v>
      </c>
      <c r="N8" s="11"/>
    </row>
    <row r="9" spans="1:14" ht="15.6" thickTop="1">
      <c r="A9" s="6"/>
      <c r="B9" s="35">
        <f>IF(EXACT(A9,"+"),1,0)</f>
        <v>0</v>
      </c>
      <c r="C9" s="36" t="s">
        <v>15</v>
      </c>
      <c r="D9" s="37"/>
      <c r="E9" s="37"/>
      <c r="F9" s="37"/>
      <c r="G9" s="38"/>
      <c r="H9" s="39"/>
      <c r="I9" s="11"/>
      <c r="J9" s="36"/>
      <c r="K9" s="40"/>
      <c r="L9" s="11"/>
      <c r="M9" s="3"/>
      <c r="N9" s="11"/>
    </row>
    <row r="10" spans="1:14" ht="15">
      <c r="A10" s="41" t="s">
        <v>16</v>
      </c>
      <c r="B10" s="35">
        <f t="shared" ref="B10:B46" si="0">IF(EXACT(A10,"+"),1,0)</f>
        <v>1</v>
      </c>
      <c r="C10" s="42" t="s">
        <v>17</v>
      </c>
      <c r="D10" s="43">
        <v>1.8</v>
      </c>
      <c r="E10" s="44">
        <v>1.5</v>
      </c>
      <c r="F10" s="44">
        <v>0.8</v>
      </c>
      <c r="G10" s="44">
        <v>0.8</v>
      </c>
      <c r="H10" s="44">
        <v>0.8</v>
      </c>
      <c r="I10" s="45"/>
      <c r="J10" s="46">
        <f ca="1">IF(COUNTA(OFFSET(J11,0,0,MATCH("+",$A11:$A$502,-1)-1,1)), COUNTIF(OFFSET(J11,0,0,MATCH("+",$A11:$A$502,-1)-1,1),"&gt;=1")/COUNTA(OFFSET(J11,0,0,MATCH("+",$A11:$A$502,-1)-1,1)), 0)</f>
        <v>1</v>
      </c>
      <c r="K10" s="46">
        <f ca="1">IF(COUNTA(OFFSET(K11,0,0,MATCH("+",$A11:$A$502,-1)-1,1)), COUNTIF(OFFSET(K11,0,0,MATCH("+",$A11:$A$502,-1)-1,1),"&gt;=1")/COUNTA(OFFSET(K11,0,0,MATCH("+",$A11:$A$502,-1)-1,1)), 0)</f>
        <v>0</v>
      </c>
      <c r="L10" s="11"/>
      <c r="M10" s="3"/>
      <c r="N10" s="11"/>
    </row>
    <row r="11" spans="1:14" ht="15" outlineLevel="1">
      <c r="A11" s="6"/>
      <c r="B11" s="35">
        <f t="shared" si="0"/>
        <v>0</v>
      </c>
      <c r="C11" s="47" t="s">
        <v>18</v>
      </c>
      <c r="D11" s="48">
        <v>2</v>
      </c>
      <c r="E11" s="48">
        <v>3</v>
      </c>
      <c r="F11" s="48">
        <v>4</v>
      </c>
      <c r="G11" s="49">
        <v>4</v>
      </c>
      <c r="H11" s="50">
        <v>4</v>
      </c>
      <c r="I11" s="11"/>
      <c r="J11" s="73">
        <v>3</v>
      </c>
      <c r="K11" s="73"/>
      <c r="L11" s="11"/>
      <c r="M11" s="3" t="s">
        <v>19</v>
      </c>
      <c r="N11" s="11"/>
    </row>
    <row r="12" spans="1:14" ht="15" outlineLevel="1">
      <c r="A12" s="6"/>
      <c r="B12" s="35">
        <f t="shared" si="0"/>
        <v>0</v>
      </c>
      <c r="C12" s="51" t="s">
        <v>20</v>
      </c>
      <c r="D12" s="52">
        <v>2</v>
      </c>
      <c r="E12" s="52">
        <v>3</v>
      </c>
      <c r="F12" s="52">
        <v>4</v>
      </c>
      <c r="G12" s="53">
        <v>4</v>
      </c>
      <c r="H12" s="54">
        <v>4</v>
      </c>
      <c r="I12" s="11"/>
      <c r="J12" s="73">
        <v>3</v>
      </c>
      <c r="K12" s="73"/>
      <c r="L12" s="11"/>
      <c r="M12" s="3"/>
      <c r="N12" s="11"/>
    </row>
    <row r="13" spans="1:14" ht="15" outlineLevel="1">
      <c r="A13" s="6"/>
      <c r="B13" s="35">
        <f t="shared" si="0"/>
        <v>0</v>
      </c>
      <c r="C13" s="51" t="s">
        <v>21</v>
      </c>
      <c r="D13" s="52">
        <v>2</v>
      </c>
      <c r="E13" s="52">
        <v>3</v>
      </c>
      <c r="F13" s="52">
        <v>4</v>
      </c>
      <c r="G13" s="53">
        <v>4</v>
      </c>
      <c r="H13" s="54">
        <v>4</v>
      </c>
      <c r="I13" s="11"/>
      <c r="J13" s="73">
        <v>3</v>
      </c>
      <c r="K13" s="73"/>
      <c r="L13" s="11"/>
      <c r="M13" s="3"/>
      <c r="N13" s="11"/>
    </row>
    <row r="14" spans="1:14" ht="15" outlineLevel="1">
      <c r="A14" s="6"/>
      <c r="B14" s="35">
        <f t="shared" ref="B14:B18" si="1">IF(EXACT(A14,"+"),1,0)</f>
        <v>0</v>
      </c>
      <c r="C14" s="51" t="s">
        <v>22</v>
      </c>
      <c r="D14" s="52">
        <v>2</v>
      </c>
      <c r="E14" s="52">
        <v>3</v>
      </c>
      <c r="F14" s="52">
        <v>4</v>
      </c>
      <c r="G14" s="53">
        <v>4</v>
      </c>
      <c r="H14" s="54">
        <v>4</v>
      </c>
      <c r="I14" s="11"/>
      <c r="J14" s="73">
        <v>3</v>
      </c>
      <c r="K14" s="73"/>
      <c r="L14" s="11"/>
      <c r="M14" s="3"/>
      <c r="N14" s="11"/>
    </row>
    <row r="15" spans="1:14" ht="15" outlineLevel="1">
      <c r="A15" s="6"/>
      <c r="B15" s="35">
        <f t="shared" si="1"/>
        <v>0</v>
      </c>
      <c r="C15" s="51" t="s">
        <v>23</v>
      </c>
      <c r="D15" s="52">
        <v>2</v>
      </c>
      <c r="E15" s="52">
        <v>3</v>
      </c>
      <c r="F15" s="52">
        <v>4</v>
      </c>
      <c r="G15" s="53">
        <v>4</v>
      </c>
      <c r="H15" s="54">
        <v>4</v>
      </c>
      <c r="I15" s="11"/>
      <c r="J15" s="73">
        <v>3</v>
      </c>
      <c r="K15" s="73"/>
      <c r="L15" s="11"/>
      <c r="M15" s="3"/>
      <c r="N15" s="11"/>
    </row>
    <row r="16" spans="1:14" ht="15" outlineLevel="1">
      <c r="A16" s="6"/>
      <c r="B16" s="35">
        <v>0</v>
      </c>
      <c r="C16" s="51" t="s">
        <v>24</v>
      </c>
      <c r="D16" s="52">
        <v>2</v>
      </c>
      <c r="E16" s="52">
        <v>3</v>
      </c>
      <c r="F16" s="52">
        <v>4</v>
      </c>
      <c r="G16" s="53">
        <v>4</v>
      </c>
      <c r="H16" s="54">
        <v>4</v>
      </c>
      <c r="I16" s="11"/>
      <c r="J16" s="73">
        <v>3</v>
      </c>
      <c r="K16" s="73"/>
      <c r="L16" s="11"/>
      <c r="M16" s="3"/>
      <c r="N16" s="11"/>
    </row>
    <row r="17" spans="1:14" ht="15" outlineLevel="1">
      <c r="A17" s="6"/>
      <c r="B17" s="35">
        <f t="shared" si="1"/>
        <v>0</v>
      </c>
      <c r="C17" s="51" t="s">
        <v>25</v>
      </c>
      <c r="D17" s="52">
        <v>2</v>
      </c>
      <c r="E17" s="52">
        <v>3</v>
      </c>
      <c r="F17" s="52">
        <v>4</v>
      </c>
      <c r="G17" s="53">
        <v>4</v>
      </c>
      <c r="H17" s="54">
        <v>4</v>
      </c>
      <c r="I17" s="11"/>
      <c r="J17" s="73">
        <v>3</v>
      </c>
      <c r="K17" s="73"/>
      <c r="L17" s="11"/>
      <c r="M17" s="3"/>
      <c r="N17" s="11"/>
    </row>
    <row r="18" spans="1:14" ht="15" outlineLevel="1">
      <c r="A18" s="6"/>
      <c r="B18" s="35">
        <f t="shared" si="1"/>
        <v>0</v>
      </c>
      <c r="C18" s="51" t="s">
        <v>26</v>
      </c>
      <c r="D18" s="52">
        <v>2</v>
      </c>
      <c r="E18" s="52">
        <v>3</v>
      </c>
      <c r="F18" s="52">
        <v>4</v>
      </c>
      <c r="G18" s="53">
        <v>4</v>
      </c>
      <c r="H18" s="54">
        <v>4</v>
      </c>
      <c r="I18" s="11"/>
      <c r="J18" s="73">
        <v>3</v>
      </c>
      <c r="K18" s="73"/>
      <c r="L18" s="11"/>
      <c r="M18" s="3"/>
      <c r="N18" s="11"/>
    </row>
    <row r="19" spans="1:14" ht="15" outlineLevel="1">
      <c r="A19" s="6"/>
      <c r="B19" s="35">
        <v>0</v>
      </c>
      <c r="C19" s="51" t="s">
        <v>27</v>
      </c>
      <c r="D19" s="52">
        <v>1</v>
      </c>
      <c r="E19" s="52">
        <v>2</v>
      </c>
      <c r="F19" s="52">
        <v>3</v>
      </c>
      <c r="G19" s="53">
        <v>3</v>
      </c>
      <c r="H19" s="54">
        <v>4</v>
      </c>
      <c r="I19" s="11"/>
      <c r="J19" s="73">
        <v>2</v>
      </c>
      <c r="K19" s="73"/>
      <c r="L19" s="11"/>
      <c r="M19" s="3"/>
      <c r="N19" s="11"/>
    </row>
    <row r="20" spans="1:14" ht="15" outlineLevel="1">
      <c r="A20" s="6"/>
      <c r="B20" s="35">
        <f t="shared" si="0"/>
        <v>0</v>
      </c>
      <c r="C20" s="51" t="s">
        <v>28</v>
      </c>
      <c r="D20" s="52">
        <v>2</v>
      </c>
      <c r="E20" s="52">
        <v>3</v>
      </c>
      <c r="F20" s="52">
        <v>4</v>
      </c>
      <c r="G20" s="53">
        <v>4</v>
      </c>
      <c r="H20" s="54">
        <v>4</v>
      </c>
      <c r="I20" s="11"/>
      <c r="J20" s="73">
        <v>3</v>
      </c>
      <c r="K20" s="73"/>
      <c r="L20" s="11"/>
      <c r="M20" s="3"/>
      <c r="N20" s="11"/>
    </row>
    <row r="21" spans="1:14" ht="15">
      <c r="A21" s="41" t="s">
        <v>16</v>
      </c>
      <c r="B21" s="35">
        <f t="shared" si="0"/>
        <v>1</v>
      </c>
      <c r="C21" s="42" t="s">
        <v>29</v>
      </c>
      <c r="D21" s="43">
        <v>1.2</v>
      </c>
      <c r="E21" s="44">
        <v>1.8</v>
      </c>
      <c r="F21" s="44">
        <v>1.5</v>
      </c>
      <c r="G21" s="44">
        <v>1</v>
      </c>
      <c r="H21" s="44">
        <v>1</v>
      </c>
      <c r="I21" s="45"/>
      <c r="J21" s="46">
        <f ca="1">IF(COUNTA(OFFSET(J22,0,0,MATCH("+",$A22:$A$502,-1)-1,1)), COUNTIF(OFFSET(J22,0,0,MATCH("+",$A22:$A$502,-1)-1,1),"&gt;=1")/COUNTA(OFFSET(J22,0,0,MATCH("+",$A22:$A$502,-1)-1,1)), 0)</f>
        <v>1</v>
      </c>
      <c r="K21" s="46">
        <f ca="1">IF(COUNTA(OFFSET(K22,0,0,MATCH("+",$A22:$A$502,-1)-1,1)), COUNTIF(OFFSET(K22,0,0,MATCH("+",$A22:$A$502,-1)-1,1),"&gt;=1")/COUNTA(OFFSET(K22,0,0,MATCH("+",$A22:$A$502,-1)-1,1)), 0)</f>
        <v>0</v>
      </c>
      <c r="L21" s="11"/>
      <c r="M21" s="3"/>
      <c r="N21" s="11"/>
    </row>
    <row r="22" spans="1:14" ht="15" outlineLevel="1">
      <c r="A22" s="6"/>
      <c r="B22" s="35">
        <f t="shared" si="0"/>
        <v>0</v>
      </c>
      <c r="C22" s="47" t="s">
        <v>30</v>
      </c>
      <c r="D22" s="48">
        <v>1</v>
      </c>
      <c r="E22" s="48">
        <v>2</v>
      </c>
      <c r="F22" s="48">
        <v>3</v>
      </c>
      <c r="G22" s="49">
        <v>4</v>
      </c>
      <c r="H22" s="50">
        <v>4</v>
      </c>
      <c r="I22" s="11"/>
      <c r="J22" s="73">
        <v>2</v>
      </c>
      <c r="K22" s="80"/>
      <c r="L22" s="11"/>
      <c r="M22" s="3"/>
      <c r="N22" s="11"/>
    </row>
    <row r="23" spans="1:14" ht="15" outlineLevel="1">
      <c r="A23" s="6"/>
      <c r="B23" s="35">
        <f t="shared" si="0"/>
        <v>0</v>
      </c>
      <c r="C23" s="51" t="s">
        <v>31</v>
      </c>
      <c r="D23" s="52">
        <v>1</v>
      </c>
      <c r="E23" s="52">
        <v>2</v>
      </c>
      <c r="F23" s="52">
        <v>3</v>
      </c>
      <c r="G23" s="53">
        <v>4</v>
      </c>
      <c r="H23" s="54">
        <v>4</v>
      </c>
      <c r="I23" s="11"/>
      <c r="J23" s="73">
        <v>2</v>
      </c>
      <c r="K23" s="75"/>
      <c r="L23" s="11"/>
      <c r="M23" s="3"/>
      <c r="N23" s="11"/>
    </row>
    <row r="24" spans="1:14" ht="15" outlineLevel="1">
      <c r="A24" s="6"/>
      <c r="B24" s="35">
        <f t="shared" si="0"/>
        <v>0</v>
      </c>
      <c r="C24" s="51" t="s">
        <v>32</v>
      </c>
      <c r="D24" s="52">
        <v>2</v>
      </c>
      <c r="E24" s="52">
        <v>3</v>
      </c>
      <c r="F24" s="52">
        <v>4</v>
      </c>
      <c r="G24" s="53">
        <v>4</v>
      </c>
      <c r="H24" s="54">
        <v>4</v>
      </c>
      <c r="I24" s="11"/>
      <c r="J24" s="73">
        <v>3</v>
      </c>
      <c r="K24" s="74"/>
      <c r="L24" s="11"/>
      <c r="M24" s="3"/>
      <c r="N24" s="11"/>
    </row>
    <row r="25" spans="1:14" ht="15" outlineLevel="1">
      <c r="A25" s="6"/>
      <c r="B25" s="35">
        <f t="shared" si="0"/>
        <v>0</v>
      </c>
      <c r="C25" s="51" t="s">
        <v>33</v>
      </c>
      <c r="D25" s="52">
        <v>2</v>
      </c>
      <c r="E25" s="52">
        <v>3</v>
      </c>
      <c r="F25" s="52">
        <v>4</v>
      </c>
      <c r="G25" s="53">
        <v>4</v>
      </c>
      <c r="H25" s="54">
        <v>4</v>
      </c>
      <c r="I25" s="11"/>
      <c r="J25" s="73">
        <v>2</v>
      </c>
      <c r="K25" s="75"/>
      <c r="L25" s="11"/>
      <c r="M25" s="3"/>
      <c r="N25" s="11"/>
    </row>
    <row r="26" spans="1:14" ht="15" outlineLevel="1">
      <c r="A26" s="6"/>
      <c r="B26" s="35">
        <f t="shared" si="0"/>
        <v>0</v>
      </c>
      <c r="C26" s="51" t="s">
        <v>34</v>
      </c>
      <c r="D26" s="52">
        <v>1</v>
      </c>
      <c r="E26" s="52">
        <v>2</v>
      </c>
      <c r="F26" s="52">
        <v>3</v>
      </c>
      <c r="G26" s="53">
        <v>4</v>
      </c>
      <c r="H26" s="54">
        <v>4</v>
      </c>
      <c r="I26" s="11"/>
      <c r="J26" s="73">
        <v>2</v>
      </c>
      <c r="K26" s="75"/>
      <c r="L26" s="11"/>
      <c r="M26" s="3"/>
      <c r="N26" s="11"/>
    </row>
    <row r="27" spans="1:14" ht="15" outlineLevel="1">
      <c r="A27" s="6"/>
      <c r="B27" s="35">
        <f t="shared" si="0"/>
        <v>0</v>
      </c>
      <c r="C27" s="51" t="s">
        <v>35</v>
      </c>
      <c r="D27" s="52">
        <v>2</v>
      </c>
      <c r="E27" s="52">
        <v>3</v>
      </c>
      <c r="F27" s="52">
        <v>4</v>
      </c>
      <c r="G27" s="53">
        <v>4</v>
      </c>
      <c r="H27" s="54">
        <v>4</v>
      </c>
      <c r="I27" s="11"/>
      <c r="J27" s="73">
        <v>2</v>
      </c>
      <c r="K27" s="75"/>
      <c r="L27" s="11"/>
      <c r="M27" s="3"/>
      <c r="N27" s="11"/>
    </row>
    <row r="28" spans="1:14" ht="15" outlineLevel="1">
      <c r="A28" s="6"/>
      <c r="B28" s="35">
        <f t="shared" ref="B28:B31" si="2">IF(EXACT(A28,"+"),1,0)</f>
        <v>0</v>
      </c>
      <c r="C28" s="51" t="s">
        <v>36</v>
      </c>
      <c r="D28" s="52">
        <v>1</v>
      </c>
      <c r="E28" s="52">
        <v>2</v>
      </c>
      <c r="F28" s="52">
        <v>3</v>
      </c>
      <c r="G28" s="53">
        <v>4</v>
      </c>
      <c r="H28" s="54">
        <v>4</v>
      </c>
      <c r="I28" s="11"/>
      <c r="J28" s="73">
        <v>2</v>
      </c>
      <c r="K28" s="75"/>
      <c r="L28" s="11"/>
      <c r="M28" s="3"/>
      <c r="N28" s="11"/>
    </row>
    <row r="29" spans="1:14" ht="15" outlineLevel="1">
      <c r="A29" s="6"/>
      <c r="B29" s="35">
        <f t="shared" si="2"/>
        <v>0</v>
      </c>
      <c r="C29" s="51" t="s">
        <v>37</v>
      </c>
      <c r="D29" s="52">
        <v>1</v>
      </c>
      <c r="E29" s="52">
        <v>2</v>
      </c>
      <c r="F29" s="52">
        <v>3</v>
      </c>
      <c r="G29" s="53">
        <v>4</v>
      </c>
      <c r="H29" s="54">
        <v>4</v>
      </c>
      <c r="I29" s="11"/>
      <c r="J29" s="73">
        <v>2</v>
      </c>
      <c r="K29" s="75"/>
      <c r="L29" s="11"/>
      <c r="M29" s="3"/>
      <c r="N29" s="11"/>
    </row>
    <row r="30" spans="1:14" ht="15" outlineLevel="1">
      <c r="A30" s="6"/>
      <c r="B30" s="35">
        <f t="shared" si="2"/>
        <v>0</v>
      </c>
      <c r="C30" s="51" t="s">
        <v>38</v>
      </c>
      <c r="D30" s="52">
        <v>1</v>
      </c>
      <c r="E30" s="52">
        <v>2</v>
      </c>
      <c r="F30" s="52">
        <v>3</v>
      </c>
      <c r="G30" s="53">
        <v>4</v>
      </c>
      <c r="H30" s="54">
        <v>4</v>
      </c>
      <c r="I30" s="11"/>
      <c r="J30" s="73">
        <v>2</v>
      </c>
      <c r="K30" s="75"/>
      <c r="L30" s="11"/>
      <c r="M30" s="3"/>
      <c r="N30" s="11"/>
    </row>
    <row r="31" spans="1:14" ht="15" outlineLevel="1">
      <c r="A31" s="6"/>
      <c r="B31" s="35">
        <f t="shared" si="2"/>
        <v>0</v>
      </c>
      <c r="C31" s="51" t="s">
        <v>39</v>
      </c>
      <c r="D31" s="52">
        <v>1</v>
      </c>
      <c r="E31" s="52">
        <v>2</v>
      </c>
      <c r="F31" s="52">
        <v>3</v>
      </c>
      <c r="G31" s="53">
        <v>4</v>
      </c>
      <c r="H31" s="54">
        <v>4</v>
      </c>
      <c r="I31" s="11"/>
      <c r="J31" s="73">
        <v>2</v>
      </c>
      <c r="K31" s="75"/>
      <c r="L31" s="11"/>
      <c r="M31" s="3"/>
      <c r="N31" s="11"/>
    </row>
    <row r="32" spans="1:14" ht="15" outlineLevel="1">
      <c r="A32" s="6"/>
      <c r="B32" s="35">
        <f t="shared" si="0"/>
        <v>0</v>
      </c>
      <c r="C32" s="51" t="s">
        <v>40</v>
      </c>
      <c r="D32" s="52">
        <v>1</v>
      </c>
      <c r="E32" s="52">
        <v>2</v>
      </c>
      <c r="F32" s="52">
        <v>3</v>
      </c>
      <c r="G32" s="53">
        <v>4</v>
      </c>
      <c r="H32" s="54">
        <v>4</v>
      </c>
      <c r="I32" s="11"/>
      <c r="J32" s="73">
        <v>2</v>
      </c>
      <c r="K32" s="75"/>
      <c r="L32" s="11"/>
      <c r="M32" s="3"/>
      <c r="N32" s="11"/>
    </row>
    <row r="33" spans="1:14" ht="15">
      <c r="A33" s="41" t="s">
        <v>16</v>
      </c>
      <c r="B33" s="35">
        <f t="shared" si="0"/>
        <v>1</v>
      </c>
      <c r="C33" s="42" t="s">
        <v>41</v>
      </c>
      <c r="D33" s="43">
        <v>0.8</v>
      </c>
      <c r="E33" s="44">
        <v>1.2</v>
      </c>
      <c r="F33" s="44">
        <v>1.5</v>
      </c>
      <c r="G33" s="44">
        <v>1.5</v>
      </c>
      <c r="H33" s="44">
        <v>1</v>
      </c>
      <c r="I33" s="45"/>
      <c r="J33" s="46">
        <f ca="1">IF(COUNTA(OFFSET(J34,0,0,MATCH("+",$A34:$A$502,-1)-1,1)), COUNTIF(OFFSET(J34,0,0,MATCH("+",$A34:$A$502,-1)-1,1),"&gt;=1")/COUNTA(OFFSET(J34,0,0,MATCH("+",$A34:$A$502,-1)-1,1)), 0)</f>
        <v>0.88888888888888884</v>
      </c>
      <c r="K33" s="46">
        <f ca="1">IF(COUNTA(OFFSET(K34,0,0,MATCH("+",$A34:$A$502,-1)-1,1)), COUNTIF(OFFSET(K34,0,0,MATCH("+",$A34:$A$502,-1)-1,1),"&gt;=1")/COUNTA(OFFSET(K34,0,0,MATCH("+",$A34:$A$502,-1)-1,1)), 0)</f>
        <v>0</v>
      </c>
      <c r="L33" s="11"/>
      <c r="M33" s="3"/>
      <c r="N33" s="11"/>
    </row>
    <row r="34" spans="1:14" ht="15" outlineLevel="1">
      <c r="A34" s="6"/>
      <c r="B34" s="35">
        <f t="shared" si="0"/>
        <v>0</v>
      </c>
      <c r="C34" s="51" t="s">
        <v>42</v>
      </c>
      <c r="D34" s="52">
        <v>1</v>
      </c>
      <c r="E34" s="52">
        <v>2</v>
      </c>
      <c r="F34" s="52">
        <v>3</v>
      </c>
      <c r="G34" s="53">
        <v>4</v>
      </c>
      <c r="H34" s="54">
        <v>4</v>
      </c>
      <c r="I34" s="11"/>
      <c r="J34" s="76">
        <v>1</v>
      </c>
      <c r="K34" s="77"/>
      <c r="L34" s="11"/>
      <c r="M34" s="3"/>
      <c r="N34" s="11"/>
    </row>
    <row r="35" spans="1:14" ht="15" outlineLevel="1">
      <c r="A35" s="6"/>
      <c r="B35" s="35">
        <f t="shared" si="0"/>
        <v>0</v>
      </c>
      <c r="C35" s="51" t="s">
        <v>43</v>
      </c>
      <c r="D35" s="52">
        <v>0</v>
      </c>
      <c r="E35" s="52">
        <v>1</v>
      </c>
      <c r="F35" s="52">
        <v>2</v>
      </c>
      <c r="G35" s="53">
        <v>4</v>
      </c>
      <c r="H35" s="54">
        <v>4</v>
      </c>
      <c r="I35" s="11"/>
      <c r="J35" s="76">
        <v>1</v>
      </c>
      <c r="K35" s="77"/>
      <c r="L35" s="11"/>
      <c r="M35" s="3"/>
      <c r="N35" s="11"/>
    </row>
    <row r="36" spans="1:14" ht="15" outlineLevel="1">
      <c r="A36" s="6"/>
      <c r="B36" s="35">
        <f t="shared" si="0"/>
        <v>0</v>
      </c>
      <c r="C36" s="51" t="s">
        <v>44</v>
      </c>
      <c r="D36" s="52">
        <v>0</v>
      </c>
      <c r="E36" s="52">
        <v>1</v>
      </c>
      <c r="F36" s="52">
        <v>2</v>
      </c>
      <c r="G36" s="53">
        <v>4</v>
      </c>
      <c r="H36" s="54">
        <v>4</v>
      </c>
      <c r="I36" s="11"/>
      <c r="J36" s="76">
        <v>1</v>
      </c>
      <c r="K36" s="77"/>
      <c r="L36" s="11"/>
      <c r="N36" s="11"/>
    </row>
    <row r="37" spans="1:14" ht="15" outlineLevel="1">
      <c r="A37" s="6"/>
      <c r="B37" s="35">
        <f t="shared" ref="B37:B38" si="3">IF(EXACT(A37,"+"),1,0)</f>
        <v>0</v>
      </c>
      <c r="C37" s="51" t="s">
        <v>45</v>
      </c>
      <c r="D37" s="52">
        <v>1</v>
      </c>
      <c r="E37" s="52">
        <v>2</v>
      </c>
      <c r="F37" s="52">
        <v>3</v>
      </c>
      <c r="G37" s="53">
        <v>4</v>
      </c>
      <c r="H37" s="54">
        <v>4</v>
      </c>
      <c r="I37" s="11"/>
      <c r="J37" s="76">
        <v>2</v>
      </c>
      <c r="K37" s="77"/>
      <c r="L37" s="11"/>
      <c r="N37" s="11"/>
    </row>
    <row r="38" spans="1:14" ht="15" outlineLevel="1">
      <c r="A38" s="6"/>
      <c r="B38" s="35">
        <f t="shared" si="3"/>
        <v>0</v>
      </c>
      <c r="C38" s="51" t="s">
        <v>46</v>
      </c>
      <c r="D38" s="52">
        <v>1</v>
      </c>
      <c r="E38" s="52">
        <v>2</v>
      </c>
      <c r="F38" s="52">
        <v>3</v>
      </c>
      <c r="G38" s="53">
        <v>4</v>
      </c>
      <c r="H38" s="54">
        <v>4</v>
      </c>
      <c r="I38" s="11"/>
      <c r="J38" s="76">
        <v>2</v>
      </c>
      <c r="K38" s="77"/>
      <c r="L38" s="11"/>
      <c r="N38" s="11"/>
    </row>
    <row r="39" spans="1:14" ht="15" outlineLevel="1">
      <c r="A39" s="6"/>
      <c r="B39" s="35">
        <v>0</v>
      </c>
      <c r="C39" s="51" t="s">
        <v>47</v>
      </c>
      <c r="D39" s="52">
        <v>1</v>
      </c>
      <c r="E39" s="52">
        <v>2</v>
      </c>
      <c r="F39" s="52">
        <v>3</v>
      </c>
      <c r="G39" s="53">
        <v>4</v>
      </c>
      <c r="H39" s="54">
        <v>4</v>
      </c>
      <c r="I39" s="11"/>
      <c r="J39" s="76">
        <v>2</v>
      </c>
      <c r="K39" s="77"/>
      <c r="L39" s="11"/>
      <c r="N39" s="11"/>
    </row>
    <row r="40" spans="1:14" ht="15" outlineLevel="1">
      <c r="A40" s="6"/>
      <c r="B40" s="35">
        <v>0</v>
      </c>
      <c r="C40" s="47" t="s">
        <v>48</v>
      </c>
      <c r="D40" s="48">
        <v>1</v>
      </c>
      <c r="E40" s="48">
        <v>2</v>
      </c>
      <c r="F40" s="48">
        <v>3</v>
      </c>
      <c r="G40" s="49">
        <v>3</v>
      </c>
      <c r="H40" s="50">
        <v>4</v>
      </c>
      <c r="I40" s="11"/>
      <c r="J40" s="76">
        <v>2</v>
      </c>
      <c r="K40" s="78"/>
      <c r="L40" s="11"/>
      <c r="N40" s="11"/>
    </row>
    <row r="41" spans="1:14" ht="15" outlineLevel="1">
      <c r="A41" s="6"/>
      <c r="B41" s="35">
        <v>0</v>
      </c>
      <c r="C41" s="47" t="s">
        <v>49</v>
      </c>
      <c r="D41" s="48">
        <v>0</v>
      </c>
      <c r="E41" s="48">
        <v>1</v>
      </c>
      <c r="F41" s="48">
        <v>2</v>
      </c>
      <c r="G41" s="49">
        <v>3</v>
      </c>
      <c r="H41" s="50">
        <v>4</v>
      </c>
      <c r="I41" s="11"/>
      <c r="J41" s="76">
        <v>1</v>
      </c>
      <c r="K41" s="78"/>
      <c r="L41" s="11"/>
      <c r="N41" s="11"/>
    </row>
    <row r="42" spans="1:14" ht="15" outlineLevel="1">
      <c r="A42" s="6"/>
      <c r="B42" s="35">
        <v>0</v>
      </c>
      <c r="C42" s="51" t="s">
        <v>50</v>
      </c>
      <c r="D42" s="52">
        <v>0</v>
      </c>
      <c r="E42" s="52">
        <v>1</v>
      </c>
      <c r="F42" s="52">
        <v>2</v>
      </c>
      <c r="G42" s="53">
        <v>3</v>
      </c>
      <c r="H42" s="54">
        <v>4</v>
      </c>
      <c r="I42" s="11"/>
      <c r="J42" s="76">
        <v>0</v>
      </c>
      <c r="K42" s="78"/>
      <c r="L42" s="11"/>
      <c r="N42" s="11"/>
    </row>
    <row r="43" spans="1:14" ht="15">
      <c r="A43" s="41" t="s">
        <v>16</v>
      </c>
      <c r="B43" s="35">
        <f t="shared" si="0"/>
        <v>1</v>
      </c>
      <c r="C43" s="42" t="s">
        <v>51</v>
      </c>
      <c r="D43" s="43">
        <v>0.1</v>
      </c>
      <c r="E43" s="44">
        <v>0.1</v>
      </c>
      <c r="F43" s="44">
        <v>0.1</v>
      </c>
      <c r="G43" s="44">
        <v>0.1</v>
      </c>
      <c r="H43" s="44">
        <v>0.1</v>
      </c>
      <c r="I43" s="45"/>
      <c r="J43" s="46">
        <f ca="1">IF(COUNTA(OFFSET(J44,0,0,MATCH("+",$A44:$A$502,-1)-1,1)), COUNTIF(OFFSET(J44,0,0,MATCH("+",$A44:$A$502,-1)-1,1),"&gt;=1")/COUNTA(OFFSET(J44,0,0,MATCH("+",$A44:$A$502,-1)-1,1)), 0)</f>
        <v>0.25</v>
      </c>
      <c r="K43" s="46">
        <f ca="1">IF(COUNTA(OFFSET(K44,0,0,MATCH("+",$A44:$A$502,-1)-1,1)), COUNTIF(OFFSET(K44,0,0,MATCH("+",$A44:$A$502,-1)-1,1),"&gt;=1")/COUNTA(OFFSET(K44,0,0,MATCH("+",$A44:$A$502,-1)-1,1)), 0)</f>
        <v>0</v>
      </c>
      <c r="L43" s="11"/>
      <c r="N43" s="11"/>
    </row>
    <row r="44" spans="1:14" ht="15" outlineLevel="1">
      <c r="A44" s="6"/>
      <c r="B44" s="35">
        <f t="shared" si="0"/>
        <v>0</v>
      </c>
      <c r="C44" s="51" t="s">
        <v>52</v>
      </c>
      <c r="D44" s="52">
        <v>0</v>
      </c>
      <c r="E44" s="52">
        <v>1</v>
      </c>
      <c r="F44" s="52">
        <v>2</v>
      </c>
      <c r="G44" s="53">
        <v>3</v>
      </c>
      <c r="H44" s="54">
        <v>4</v>
      </c>
      <c r="I44" s="11"/>
      <c r="J44" s="76">
        <v>0</v>
      </c>
      <c r="K44" s="79">
        <v>0</v>
      </c>
      <c r="L44" s="11"/>
      <c r="N44" s="11"/>
    </row>
    <row r="45" spans="1:14" ht="15" outlineLevel="1">
      <c r="A45" s="6"/>
      <c r="B45" s="35">
        <f t="shared" si="0"/>
        <v>0</v>
      </c>
      <c r="C45" s="51" t="s">
        <v>53</v>
      </c>
      <c r="D45" s="52">
        <v>1</v>
      </c>
      <c r="E45" s="52">
        <v>2</v>
      </c>
      <c r="F45" s="52">
        <v>3</v>
      </c>
      <c r="G45" s="53">
        <v>4</v>
      </c>
      <c r="H45" s="54">
        <v>4</v>
      </c>
      <c r="I45" s="11"/>
      <c r="J45" s="76">
        <v>0</v>
      </c>
      <c r="K45" s="78">
        <v>0</v>
      </c>
      <c r="L45" s="11"/>
      <c r="N45" s="11"/>
    </row>
    <row r="46" spans="1:14" ht="15" outlineLevel="1">
      <c r="A46" s="6"/>
      <c r="B46" s="35">
        <f t="shared" si="0"/>
        <v>0</v>
      </c>
      <c r="C46" s="51" t="s">
        <v>54</v>
      </c>
      <c r="D46" s="52">
        <v>0</v>
      </c>
      <c r="E46" s="52">
        <v>1</v>
      </c>
      <c r="F46" s="52">
        <v>2</v>
      </c>
      <c r="G46" s="53">
        <v>3</v>
      </c>
      <c r="H46" s="54">
        <v>4</v>
      </c>
      <c r="I46" s="11"/>
      <c r="J46" s="76">
        <v>1</v>
      </c>
      <c r="K46" s="78">
        <v>0</v>
      </c>
      <c r="L46" s="11"/>
      <c r="N46" s="11"/>
    </row>
    <row r="47" spans="1:14" ht="15" outlineLevel="1">
      <c r="A47" s="6"/>
      <c r="B47" s="35">
        <v>0</v>
      </c>
      <c r="C47" s="70" t="s">
        <v>55</v>
      </c>
      <c r="D47" s="71">
        <v>0</v>
      </c>
      <c r="E47" s="71">
        <v>1</v>
      </c>
      <c r="F47" s="71">
        <v>2</v>
      </c>
      <c r="G47" s="71">
        <v>3</v>
      </c>
      <c r="H47" s="69">
        <v>4</v>
      </c>
      <c r="I47" s="11"/>
      <c r="J47" s="76">
        <v>0</v>
      </c>
      <c r="K47" s="78">
        <v>0</v>
      </c>
      <c r="L47" s="11"/>
      <c r="N47" s="11"/>
    </row>
    <row r="48" spans="1:14" ht="15">
      <c r="A48" s="41" t="s">
        <v>16</v>
      </c>
      <c r="B48" s="55">
        <v>0</v>
      </c>
      <c r="C48" s="56" t="s">
        <v>56</v>
      </c>
      <c r="D48" s="57"/>
      <c r="E48" s="57"/>
      <c r="F48" s="57"/>
      <c r="G48" s="57"/>
      <c r="H48" s="57"/>
      <c r="I48" s="11"/>
      <c r="J48" s="58">
        <v>0.01</v>
      </c>
      <c r="K48" s="4"/>
      <c r="L48" s="11"/>
      <c r="M48" s="3"/>
      <c r="N48" s="11"/>
    </row>
    <row r="49" spans="1:14" ht="15">
      <c r="A49" s="59"/>
      <c r="B49" s="60"/>
      <c r="C49" s="61"/>
      <c r="D49" s="61"/>
      <c r="E49" s="61"/>
      <c r="F49" s="61"/>
      <c r="G49" s="61"/>
      <c r="H49" s="61"/>
      <c r="I49" s="60"/>
      <c r="J49" s="61"/>
      <c r="K49" s="61"/>
      <c r="L49" s="62"/>
      <c r="N49" s="59"/>
    </row>
    <row r="50" spans="1:14" ht="15.95" customHeight="1">
      <c r="A50" s="63"/>
      <c r="B50" s="63"/>
      <c r="I50" s="63"/>
      <c r="L50" s="63"/>
      <c r="M50" s="64"/>
      <c r="N50" s="63"/>
    </row>
    <row r="51" spans="1:14" ht="15.95" customHeight="1">
      <c r="A51" s="63"/>
      <c r="B51" s="63"/>
      <c r="I51" s="63"/>
      <c r="J51" s="65"/>
      <c r="K51" s="65"/>
      <c r="L51" s="63"/>
      <c r="M51" s="65"/>
      <c r="N51" s="63"/>
    </row>
    <row r="52" spans="1:14" ht="15.95" customHeight="1">
      <c r="A52" s="63"/>
      <c r="B52" s="63"/>
      <c r="I52" s="63"/>
      <c r="J52" s="65"/>
      <c r="K52" s="65"/>
      <c r="L52" s="63"/>
      <c r="M52" s="65"/>
      <c r="N52" s="63"/>
    </row>
    <row r="53" spans="1:14" ht="15.95" customHeight="1">
      <c r="A53" s="63"/>
      <c r="B53" s="63"/>
      <c r="I53" s="63"/>
      <c r="J53" s="65"/>
      <c r="K53" s="65"/>
      <c r="L53" s="63"/>
      <c r="M53" s="65"/>
      <c r="N53" s="63"/>
    </row>
    <row r="54" spans="1:14" ht="15.95" customHeight="1">
      <c r="A54" s="63"/>
      <c r="B54" s="63"/>
      <c r="I54" s="63"/>
      <c r="J54" s="65"/>
      <c r="K54" s="65"/>
      <c r="L54" s="63"/>
      <c r="M54" s="65"/>
      <c r="N54" s="63"/>
    </row>
    <row r="55" spans="1:14" ht="15.95" customHeight="1">
      <c r="A55" s="63"/>
      <c r="B55" s="63"/>
      <c r="I55" s="63"/>
      <c r="J55" s="65"/>
      <c r="K55" s="65"/>
      <c r="L55" s="63"/>
      <c r="M55" s="65"/>
      <c r="N55" s="63"/>
    </row>
    <row r="56" spans="1:14" ht="15.95" customHeight="1">
      <c r="A56" s="63"/>
      <c r="B56" s="63"/>
      <c r="I56" s="63"/>
      <c r="J56" s="65"/>
      <c r="K56" s="65"/>
      <c r="L56" s="63"/>
      <c r="M56" s="65"/>
      <c r="N56" s="63"/>
    </row>
    <row r="57" spans="1:14" ht="15.95" customHeight="1">
      <c r="A57" s="63"/>
      <c r="B57" s="63"/>
      <c r="I57" s="63"/>
      <c r="J57" s="65"/>
      <c r="K57" s="65"/>
      <c r="L57" s="63"/>
      <c r="M57" s="65"/>
      <c r="N57" s="63"/>
    </row>
    <row r="58" spans="1:14" ht="15.95" customHeight="1">
      <c r="A58" s="63"/>
      <c r="B58" s="63"/>
      <c r="I58" s="63"/>
      <c r="J58" s="65"/>
      <c r="K58" s="65"/>
      <c r="L58" s="63"/>
      <c r="M58" s="65"/>
      <c r="N58" s="63"/>
    </row>
    <row r="59" spans="1:14" ht="15.95" customHeight="1">
      <c r="A59" s="63"/>
      <c r="B59" s="63"/>
      <c r="I59" s="63"/>
      <c r="J59" s="65"/>
      <c r="K59" s="65"/>
      <c r="L59" s="63"/>
      <c r="M59" s="65"/>
      <c r="N59" s="63"/>
    </row>
    <row r="60" spans="1:14" ht="15.95" customHeight="1">
      <c r="A60" s="63"/>
      <c r="B60" s="63"/>
      <c r="I60" s="63"/>
      <c r="J60" s="65"/>
      <c r="K60" s="65"/>
      <c r="L60" s="63"/>
      <c r="M60" s="65"/>
      <c r="N60" s="63"/>
    </row>
    <row r="61" spans="1:14" ht="15.95" customHeight="1">
      <c r="A61" s="63"/>
      <c r="B61" s="63"/>
      <c r="I61" s="63"/>
      <c r="J61" s="65"/>
      <c r="K61" s="65"/>
      <c r="L61" s="63"/>
      <c r="M61" s="65"/>
      <c r="N61" s="63"/>
    </row>
    <row r="62" spans="1:14" ht="15.95" customHeight="1">
      <c r="A62" s="63"/>
      <c r="B62" s="63"/>
      <c r="I62" s="63"/>
      <c r="J62" s="65"/>
      <c r="K62" s="65"/>
      <c r="L62" s="63"/>
      <c r="M62" s="65"/>
      <c r="N62" s="63"/>
    </row>
    <row r="63" spans="1:14" ht="15.95" customHeight="1">
      <c r="A63" s="63"/>
      <c r="B63" s="63"/>
      <c r="I63" s="63"/>
      <c r="J63" s="65"/>
      <c r="K63" s="65"/>
      <c r="L63" s="63"/>
      <c r="M63" s="65"/>
      <c r="N63" s="63"/>
    </row>
    <row r="64" spans="1:14" ht="15.95" customHeight="1">
      <c r="A64" s="63"/>
      <c r="B64" s="63"/>
      <c r="I64" s="63"/>
      <c r="J64" s="65"/>
      <c r="K64" s="65"/>
      <c r="L64" s="63"/>
      <c r="M64" s="65"/>
      <c r="N64" s="63"/>
    </row>
    <row r="65" spans="1:14" ht="15.95" customHeight="1">
      <c r="A65" s="63"/>
      <c r="B65" s="63"/>
      <c r="I65" s="63"/>
      <c r="J65" s="65"/>
      <c r="K65" s="65"/>
      <c r="L65" s="63"/>
      <c r="M65" s="65"/>
      <c r="N65" s="63"/>
    </row>
    <row r="66" spans="1:14" ht="15.95" customHeight="1">
      <c r="A66" s="63"/>
      <c r="B66" s="63"/>
      <c r="I66" s="63"/>
      <c r="J66" s="65"/>
      <c r="K66" s="65"/>
      <c r="L66" s="63"/>
      <c r="M66" s="65"/>
      <c r="N66" s="63"/>
    </row>
    <row r="67" spans="1:14" ht="15.95" customHeight="1">
      <c r="A67" s="63"/>
      <c r="B67" s="63"/>
      <c r="I67" s="63"/>
      <c r="J67" s="65"/>
      <c r="K67" s="65"/>
      <c r="L67" s="63"/>
      <c r="M67" s="65"/>
      <c r="N67" s="63"/>
    </row>
    <row r="68" spans="1:14" ht="15.95" customHeight="1">
      <c r="A68" s="63"/>
      <c r="B68" s="63"/>
      <c r="I68" s="63"/>
      <c r="J68" s="65"/>
      <c r="K68" s="65"/>
      <c r="L68" s="63"/>
      <c r="M68" s="65"/>
      <c r="N68" s="63"/>
    </row>
    <row r="69" spans="1:14" ht="15.95" customHeight="1">
      <c r="A69" s="63"/>
      <c r="B69" s="63"/>
      <c r="I69" s="63"/>
      <c r="J69" s="65"/>
      <c r="K69" s="65"/>
      <c r="L69" s="63"/>
      <c r="M69" s="65"/>
      <c r="N69" s="63"/>
    </row>
    <row r="70" spans="1:14" ht="15.95" customHeight="1">
      <c r="A70" s="63"/>
      <c r="B70" s="63"/>
      <c r="I70" s="63"/>
      <c r="J70" s="65"/>
      <c r="K70" s="65"/>
      <c r="L70" s="63"/>
      <c r="M70" s="65"/>
      <c r="N70" s="63"/>
    </row>
    <row r="71" spans="1:14" ht="15.95" customHeight="1">
      <c r="A71" s="63"/>
      <c r="B71" s="63"/>
      <c r="I71" s="63"/>
      <c r="J71" s="65"/>
      <c r="K71" s="65"/>
      <c r="L71" s="63"/>
      <c r="M71" s="65"/>
      <c r="N71" s="63"/>
    </row>
    <row r="72" spans="1:14" ht="15.95" customHeight="1">
      <c r="A72" s="63"/>
      <c r="B72" s="63"/>
      <c r="I72" s="63"/>
      <c r="J72" s="65"/>
      <c r="K72" s="65"/>
      <c r="L72" s="63"/>
      <c r="M72" s="65"/>
      <c r="N72" s="63"/>
    </row>
    <row r="73" spans="1:14" ht="15.95" customHeight="1">
      <c r="A73" s="63"/>
      <c r="B73" s="63"/>
      <c r="I73" s="63"/>
      <c r="J73" s="65"/>
      <c r="K73" s="65"/>
      <c r="L73" s="63"/>
      <c r="M73" s="65"/>
      <c r="N73" s="63"/>
    </row>
    <row r="74" spans="1:14" ht="15.95" customHeight="1">
      <c r="A74" s="63"/>
      <c r="B74" s="63"/>
      <c r="I74" s="63"/>
      <c r="J74" s="65"/>
      <c r="K74" s="65"/>
      <c r="L74" s="63"/>
      <c r="M74" s="65"/>
      <c r="N74" s="63"/>
    </row>
    <row r="75" spans="1:14" ht="15.95" customHeight="1">
      <c r="A75" s="63"/>
      <c r="B75" s="63"/>
      <c r="I75" s="63"/>
      <c r="J75" s="65"/>
      <c r="K75" s="65"/>
      <c r="L75" s="63"/>
      <c r="M75" s="65"/>
      <c r="N75" s="63"/>
    </row>
    <row r="76" spans="1:14" ht="15.95" customHeight="1">
      <c r="A76" s="63"/>
      <c r="B76" s="63"/>
      <c r="I76" s="63"/>
      <c r="J76" s="65"/>
      <c r="K76" s="65"/>
      <c r="L76" s="63"/>
      <c r="M76" s="65"/>
      <c r="N76" s="63"/>
    </row>
    <row r="77" spans="1:14" ht="15.95" customHeight="1">
      <c r="A77" s="63"/>
      <c r="B77" s="63"/>
      <c r="I77" s="63"/>
      <c r="J77" s="65"/>
      <c r="K77" s="65"/>
      <c r="L77" s="63"/>
      <c r="M77" s="65"/>
      <c r="N77" s="63"/>
    </row>
    <row r="78" spans="1:14" ht="15.95" customHeight="1">
      <c r="A78" s="63"/>
      <c r="B78" s="63"/>
      <c r="I78" s="63"/>
      <c r="J78" s="65"/>
      <c r="K78" s="65"/>
      <c r="L78" s="63"/>
      <c r="M78" s="65"/>
      <c r="N78" s="63"/>
    </row>
    <row r="79" spans="1:14" ht="15.95" customHeight="1">
      <c r="A79" s="63"/>
      <c r="B79" s="63"/>
      <c r="I79" s="63"/>
      <c r="J79" s="65"/>
      <c r="K79" s="65"/>
      <c r="L79" s="63"/>
      <c r="M79" s="65"/>
      <c r="N79" s="63"/>
    </row>
    <row r="80" spans="1:14" ht="15.95" customHeight="1">
      <c r="A80" s="63"/>
      <c r="B80" s="63"/>
      <c r="I80" s="63"/>
      <c r="J80" s="65"/>
      <c r="K80" s="65"/>
      <c r="L80" s="63"/>
      <c r="M80" s="65"/>
      <c r="N80" s="63"/>
    </row>
    <row r="81" spans="1:14" ht="15.95" customHeight="1">
      <c r="A81" s="63"/>
      <c r="B81" s="63"/>
      <c r="I81" s="63"/>
      <c r="J81" s="65"/>
      <c r="K81" s="65"/>
      <c r="L81" s="63"/>
      <c r="M81" s="65"/>
      <c r="N81" s="63"/>
    </row>
    <row r="82" spans="1:14" ht="15.95" customHeight="1">
      <c r="A82" s="63"/>
      <c r="B82" s="63"/>
      <c r="I82" s="63"/>
      <c r="J82" s="65"/>
      <c r="K82" s="65"/>
      <c r="L82" s="63"/>
      <c r="M82" s="65"/>
      <c r="N82" s="63"/>
    </row>
    <row r="83" spans="1:14" ht="15.95" customHeight="1">
      <c r="A83" s="63"/>
      <c r="B83" s="63"/>
      <c r="I83" s="63"/>
      <c r="J83" s="65"/>
      <c r="K83" s="65"/>
      <c r="L83" s="63"/>
      <c r="M83" s="65"/>
      <c r="N83" s="63"/>
    </row>
    <row r="84" spans="1:14" ht="15.95" customHeight="1">
      <c r="A84" s="63"/>
      <c r="B84" s="63"/>
      <c r="I84" s="63"/>
      <c r="J84" s="65"/>
      <c r="K84" s="65"/>
      <c r="L84" s="63"/>
      <c r="M84" s="65"/>
      <c r="N84" s="63"/>
    </row>
    <row r="85" spans="1:14" ht="15.95" customHeight="1">
      <c r="A85" s="63"/>
      <c r="B85" s="63"/>
      <c r="I85" s="63"/>
      <c r="J85" s="65"/>
      <c r="K85" s="65"/>
      <c r="L85" s="63"/>
      <c r="M85" s="65"/>
      <c r="N85" s="63"/>
    </row>
    <row r="86" spans="1:14" ht="15.95" customHeight="1">
      <c r="A86" s="63"/>
      <c r="B86" s="63"/>
      <c r="I86" s="63"/>
      <c r="J86" s="65"/>
      <c r="K86" s="65"/>
      <c r="L86" s="63"/>
      <c r="M86" s="65"/>
      <c r="N86" s="63"/>
    </row>
    <row r="87" spans="1:14" ht="15.95" customHeight="1">
      <c r="A87" s="63"/>
      <c r="B87" s="63"/>
      <c r="I87" s="63"/>
      <c r="J87" s="65"/>
      <c r="K87" s="65"/>
      <c r="L87" s="63"/>
      <c r="M87" s="65"/>
      <c r="N87" s="63"/>
    </row>
    <row r="88" spans="1:14" ht="15.95" customHeight="1">
      <c r="A88" s="63"/>
      <c r="B88" s="63"/>
      <c r="I88" s="63"/>
      <c r="J88" s="65"/>
      <c r="K88" s="65"/>
      <c r="L88" s="63"/>
      <c r="M88" s="65"/>
      <c r="N88" s="63"/>
    </row>
    <row r="89" spans="1:14" ht="15.95" customHeight="1">
      <c r="A89" s="63"/>
      <c r="B89" s="63"/>
      <c r="I89" s="63"/>
      <c r="J89" s="65"/>
      <c r="K89" s="65"/>
      <c r="L89" s="63"/>
      <c r="M89" s="65"/>
      <c r="N89" s="63"/>
    </row>
    <row r="90" spans="1:14" ht="15.95" customHeight="1">
      <c r="A90" s="63"/>
      <c r="B90" s="63"/>
      <c r="I90" s="63"/>
      <c r="J90" s="65"/>
      <c r="K90" s="65"/>
      <c r="L90" s="63"/>
      <c r="M90" s="65"/>
      <c r="N90" s="63"/>
    </row>
    <row r="91" spans="1:14" ht="15.95" customHeight="1">
      <c r="A91" s="63"/>
      <c r="B91" s="63"/>
      <c r="I91" s="63"/>
      <c r="J91" s="65"/>
      <c r="K91" s="65"/>
      <c r="L91" s="63"/>
      <c r="M91" s="65"/>
      <c r="N91" s="63"/>
    </row>
    <row r="92" spans="1:14" ht="15.95" customHeight="1">
      <c r="A92" s="63"/>
      <c r="B92" s="63"/>
      <c r="I92" s="63"/>
      <c r="J92" s="65"/>
      <c r="K92" s="65"/>
      <c r="L92" s="63"/>
      <c r="M92" s="65"/>
      <c r="N92" s="63"/>
    </row>
    <row r="93" spans="1:14" ht="15.95" customHeight="1">
      <c r="A93" s="63"/>
      <c r="B93" s="63"/>
      <c r="I93" s="63"/>
      <c r="J93" s="65"/>
      <c r="K93" s="65"/>
      <c r="L93" s="63"/>
      <c r="M93" s="65"/>
      <c r="N93" s="63"/>
    </row>
    <row r="94" spans="1:14" ht="15.95" customHeight="1">
      <c r="A94" s="63"/>
      <c r="B94" s="63"/>
      <c r="I94" s="63"/>
      <c r="J94" s="65"/>
      <c r="K94" s="65"/>
      <c r="L94" s="63"/>
      <c r="M94" s="65"/>
      <c r="N94" s="63"/>
    </row>
    <row r="95" spans="1:14" ht="15.95" customHeight="1">
      <c r="A95" s="63"/>
      <c r="B95" s="63"/>
      <c r="I95" s="63"/>
      <c r="J95" s="65"/>
      <c r="K95" s="65"/>
      <c r="L95" s="63"/>
      <c r="M95" s="65"/>
      <c r="N95" s="63"/>
    </row>
    <row r="96" spans="1:14" ht="15.95" customHeight="1">
      <c r="A96" s="63"/>
      <c r="B96" s="63"/>
      <c r="I96" s="63"/>
      <c r="J96" s="65"/>
      <c r="K96" s="65"/>
      <c r="L96" s="63"/>
      <c r="M96" s="65"/>
      <c r="N96" s="63"/>
    </row>
    <row r="97" spans="1:14" ht="15.95" customHeight="1">
      <c r="A97" s="63"/>
      <c r="B97" s="63"/>
      <c r="I97" s="63"/>
      <c r="J97" s="65"/>
      <c r="K97" s="65"/>
      <c r="L97" s="63"/>
      <c r="M97" s="65"/>
      <c r="N97" s="63"/>
    </row>
    <row r="98" spans="1:14" ht="15.95" customHeight="1">
      <c r="A98" s="63"/>
      <c r="B98" s="63"/>
      <c r="I98" s="63"/>
      <c r="J98" s="65"/>
      <c r="K98" s="65"/>
      <c r="L98" s="63"/>
      <c r="M98" s="65"/>
      <c r="N98" s="63"/>
    </row>
    <row r="99" spans="1:14" ht="15.95" customHeight="1">
      <c r="A99" s="63"/>
      <c r="B99" s="63"/>
      <c r="I99" s="63"/>
      <c r="J99" s="65"/>
      <c r="K99" s="65"/>
      <c r="L99" s="63"/>
      <c r="M99" s="65"/>
      <c r="N99" s="63"/>
    </row>
    <row r="100" spans="1:14" ht="15.95" customHeight="1">
      <c r="A100" s="63"/>
      <c r="B100" s="63"/>
      <c r="I100" s="63"/>
      <c r="J100" s="65"/>
      <c r="K100" s="65"/>
      <c r="L100" s="63"/>
      <c r="M100" s="65"/>
      <c r="N100" s="63"/>
    </row>
    <row r="101" spans="1:14" ht="15.95" customHeight="1">
      <c r="A101" s="63"/>
      <c r="B101" s="63"/>
      <c r="I101" s="63"/>
      <c r="J101" s="65"/>
      <c r="K101" s="65"/>
      <c r="L101" s="63"/>
      <c r="M101" s="65"/>
      <c r="N101" s="63"/>
    </row>
    <row r="102" spans="1:14" ht="15.95" customHeight="1">
      <c r="A102" s="63"/>
      <c r="B102" s="63"/>
      <c r="I102" s="63"/>
      <c r="J102" s="65"/>
      <c r="K102" s="65"/>
      <c r="L102" s="63"/>
      <c r="M102" s="65"/>
      <c r="N102" s="63"/>
    </row>
    <row r="103" spans="1:14" ht="15.95" customHeight="1">
      <c r="A103" s="63"/>
      <c r="B103" s="63"/>
      <c r="I103" s="63"/>
      <c r="J103" s="65"/>
      <c r="K103" s="65"/>
      <c r="L103" s="63"/>
      <c r="M103" s="65"/>
      <c r="N103" s="63"/>
    </row>
    <row r="104" spans="1:14" ht="15.95" customHeight="1">
      <c r="A104" s="63"/>
      <c r="B104" s="63"/>
      <c r="I104" s="63"/>
      <c r="J104" s="65"/>
      <c r="K104" s="65"/>
      <c r="L104" s="63"/>
      <c r="M104" s="65"/>
      <c r="N104" s="63"/>
    </row>
    <row r="105" spans="1:14" ht="15.95" customHeight="1">
      <c r="A105" s="63"/>
      <c r="B105" s="63"/>
      <c r="I105" s="63"/>
      <c r="J105" s="65"/>
      <c r="K105" s="65"/>
      <c r="L105" s="63"/>
      <c r="M105" s="65"/>
      <c r="N105" s="63"/>
    </row>
    <row r="106" spans="1:14" ht="15.95" customHeight="1">
      <c r="A106" s="63"/>
      <c r="B106" s="63"/>
      <c r="I106" s="63"/>
      <c r="J106" s="65"/>
      <c r="K106" s="65"/>
      <c r="L106" s="63"/>
      <c r="M106" s="65"/>
      <c r="N106" s="63"/>
    </row>
    <row r="107" spans="1:14" ht="15.95" customHeight="1">
      <c r="A107" s="63"/>
      <c r="B107" s="63"/>
      <c r="I107" s="63"/>
      <c r="J107" s="65"/>
      <c r="K107" s="65"/>
      <c r="L107" s="63"/>
      <c r="M107" s="65"/>
      <c r="N107" s="63"/>
    </row>
    <row r="108" spans="1:14" ht="15.95" customHeight="1">
      <c r="A108" s="63"/>
      <c r="B108" s="63"/>
      <c r="I108" s="63"/>
      <c r="J108" s="65"/>
      <c r="K108" s="65"/>
      <c r="L108" s="63"/>
      <c r="M108" s="65"/>
      <c r="N108" s="63"/>
    </row>
    <row r="109" spans="1:14" ht="15.95" customHeight="1">
      <c r="A109" s="63"/>
      <c r="B109" s="63"/>
      <c r="I109" s="63"/>
      <c r="J109" s="65"/>
      <c r="K109" s="65"/>
      <c r="L109" s="63"/>
      <c r="M109" s="65"/>
      <c r="N109" s="63"/>
    </row>
    <row r="110" spans="1:14" ht="15.95" customHeight="1">
      <c r="A110" s="63"/>
      <c r="B110" s="63"/>
      <c r="I110" s="63"/>
      <c r="J110" s="65"/>
      <c r="K110" s="65"/>
      <c r="L110" s="63"/>
      <c r="M110" s="65"/>
      <c r="N110" s="63"/>
    </row>
    <row r="111" spans="1:14" ht="15.95" customHeight="1">
      <c r="A111" s="63"/>
      <c r="B111" s="63"/>
      <c r="I111" s="63"/>
      <c r="J111" s="65"/>
      <c r="K111" s="65"/>
      <c r="L111" s="63"/>
      <c r="M111" s="65"/>
      <c r="N111" s="63"/>
    </row>
    <row r="112" spans="1:14" ht="15.95" customHeight="1">
      <c r="A112" s="63"/>
      <c r="B112" s="63"/>
      <c r="I112" s="63"/>
      <c r="J112" s="65"/>
      <c r="K112" s="65"/>
      <c r="L112" s="63"/>
      <c r="M112" s="65"/>
      <c r="N112" s="63"/>
    </row>
    <row r="113" spans="1:14" ht="15.95" customHeight="1">
      <c r="A113" s="63"/>
      <c r="B113" s="63"/>
      <c r="I113" s="63"/>
      <c r="J113" s="65"/>
      <c r="K113" s="65"/>
      <c r="L113" s="63"/>
      <c r="M113" s="65"/>
      <c r="N113" s="63"/>
    </row>
    <row r="114" spans="1:14" ht="15.95" customHeight="1">
      <c r="A114" s="63"/>
      <c r="B114" s="63"/>
      <c r="I114" s="63"/>
      <c r="J114" s="65"/>
      <c r="K114" s="65"/>
      <c r="L114" s="63"/>
      <c r="M114" s="65"/>
      <c r="N114" s="63"/>
    </row>
    <row r="115" spans="1:14" ht="15.95" customHeight="1">
      <c r="A115" s="63"/>
      <c r="B115" s="63"/>
      <c r="I115" s="63"/>
      <c r="J115" s="65"/>
      <c r="K115" s="65"/>
      <c r="L115" s="63"/>
      <c r="M115" s="65"/>
      <c r="N115" s="63"/>
    </row>
    <row r="116" spans="1:14" ht="15.95" customHeight="1">
      <c r="A116" s="63"/>
      <c r="B116" s="63"/>
      <c r="I116" s="63"/>
      <c r="J116" s="65"/>
      <c r="K116" s="65"/>
      <c r="L116" s="63"/>
      <c r="M116" s="65"/>
      <c r="N116" s="63"/>
    </row>
    <row r="117" spans="1:14" ht="15.95" customHeight="1">
      <c r="A117" s="63"/>
      <c r="B117" s="63"/>
      <c r="I117" s="63"/>
      <c r="J117" s="65"/>
      <c r="K117" s="65"/>
      <c r="L117" s="63"/>
      <c r="M117" s="65"/>
      <c r="N117" s="63"/>
    </row>
    <row r="118" spans="1:14" ht="15.95" customHeight="1">
      <c r="A118" s="63"/>
      <c r="B118" s="63"/>
      <c r="I118" s="63"/>
      <c r="J118" s="65"/>
      <c r="K118" s="65"/>
      <c r="L118" s="63"/>
      <c r="M118" s="65"/>
      <c r="N118" s="63"/>
    </row>
    <row r="119" spans="1:14" ht="15.95" customHeight="1">
      <c r="A119" s="63"/>
      <c r="B119" s="63"/>
      <c r="I119" s="63"/>
      <c r="J119" s="65"/>
      <c r="K119" s="65"/>
      <c r="L119" s="63"/>
      <c r="M119" s="65"/>
      <c r="N119" s="63"/>
    </row>
    <row r="120" spans="1:14" ht="15.95" customHeight="1">
      <c r="A120" s="63"/>
      <c r="B120" s="63"/>
      <c r="I120" s="63"/>
      <c r="J120" s="65"/>
      <c r="K120" s="65"/>
      <c r="L120" s="63"/>
      <c r="M120" s="65"/>
      <c r="N120" s="63"/>
    </row>
    <row r="121" spans="1:14" ht="15.95" customHeight="1">
      <c r="A121" s="63"/>
      <c r="B121" s="63"/>
      <c r="I121" s="63"/>
      <c r="J121" s="65"/>
      <c r="K121" s="65"/>
      <c r="L121" s="63"/>
      <c r="M121" s="65"/>
      <c r="N121" s="63"/>
    </row>
    <row r="122" spans="1:14" ht="15.95" customHeight="1">
      <c r="A122" s="63"/>
      <c r="B122" s="63"/>
      <c r="I122" s="63"/>
      <c r="J122" s="65"/>
      <c r="K122" s="65"/>
      <c r="L122" s="63"/>
      <c r="M122" s="65"/>
      <c r="N122" s="63"/>
    </row>
    <row r="123" spans="1:14" ht="15.95" customHeight="1">
      <c r="A123" s="63"/>
      <c r="B123" s="63"/>
      <c r="I123" s="63"/>
      <c r="J123" s="65"/>
      <c r="K123" s="65"/>
      <c r="L123" s="63"/>
      <c r="M123" s="65"/>
      <c r="N123" s="63"/>
    </row>
    <row r="124" spans="1:14" ht="15.95" customHeight="1">
      <c r="A124" s="63"/>
      <c r="B124" s="63"/>
      <c r="I124" s="63"/>
      <c r="J124" s="65"/>
      <c r="K124" s="65"/>
      <c r="L124" s="63"/>
      <c r="M124" s="65"/>
      <c r="N124" s="63"/>
    </row>
    <row r="125" spans="1:14" ht="15.95" customHeight="1">
      <c r="A125" s="63"/>
      <c r="B125" s="63"/>
      <c r="I125" s="63"/>
      <c r="J125" s="65"/>
      <c r="K125" s="65"/>
      <c r="L125" s="63"/>
      <c r="M125" s="65"/>
      <c r="N125" s="63"/>
    </row>
    <row r="126" spans="1:14" ht="15.95" customHeight="1">
      <c r="A126" s="63"/>
      <c r="B126" s="63"/>
      <c r="I126" s="63"/>
      <c r="J126" s="65"/>
      <c r="K126" s="65"/>
      <c r="L126" s="63"/>
      <c r="M126" s="65"/>
      <c r="N126" s="63"/>
    </row>
    <row r="127" spans="1:14" ht="15.95" customHeight="1">
      <c r="A127" s="63"/>
      <c r="B127" s="63"/>
      <c r="I127" s="63"/>
      <c r="J127" s="65"/>
      <c r="K127" s="65"/>
      <c r="L127" s="63"/>
      <c r="M127" s="65"/>
      <c r="N127" s="63"/>
    </row>
    <row r="128" spans="1:14" ht="15.95" customHeight="1">
      <c r="A128" s="63"/>
      <c r="B128" s="63"/>
      <c r="I128" s="63"/>
      <c r="J128" s="65"/>
      <c r="K128" s="65"/>
      <c r="L128" s="63"/>
      <c r="M128" s="65"/>
      <c r="N128" s="63"/>
    </row>
    <row r="129" spans="1:14" ht="15.95" customHeight="1">
      <c r="A129" s="63"/>
      <c r="B129" s="63"/>
      <c r="I129" s="63"/>
      <c r="J129" s="65"/>
      <c r="K129" s="65"/>
      <c r="L129" s="63"/>
      <c r="M129" s="65"/>
      <c r="N129" s="63"/>
    </row>
    <row r="130" spans="1:14" ht="15.95" customHeight="1">
      <c r="A130" s="63"/>
      <c r="B130" s="63"/>
      <c r="I130" s="63"/>
      <c r="J130" s="65"/>
      <c r="K130" s="65"/>
      <c r="L130" s="63"/>
      <c r="M130" s="65"/>
      <c r="N130" s="63"/>
    </row>
    <row r="131" spans="1:14" ht="15.95" customHeight="1">
      <c r="A131" s="63"/>
      <c r="B131" s="63"/>
      <c r="I131" s="63"/>
      <c r="J131" s="65"/>
      <c r="K131" s="65"/>
      <c r="L131" s="63"/>
      <c r="M131" s="65"/>
      <c r="N131" s="63"/>
    </row>
    <row r="132" spans="1:14" ht="15.95" customHeight="1">
      <c r="A132" s="63"/>
      <c r="B132" s="63"/>
      <c r="I132" s="63"/>
      <c r="J132" s="65"/>
      <c r="K132" s="65"/>
      <c r="L132" s="63"/>
      <c r="M132" s="65"/>
      <c r="N132" s="63"/>
    </row>
    <row r="133" spans="1:14" ht="15.95" customHeight="1">
      <c r="A133" s="63"/>
      <c r="B133" s="63"/>
      <c r="I133" s="63"/>
      <c r="J133" s="65"/>
      <c r="K133" s="65"/>
      <c r="L133" s="63"/>
      <c r="M133" s="65"/>
      <c r="N133" s="63"/>
    </row>
    <row r="134" spans="1:14" ht="15.95" customHeight="1">
      <c r="A134" s="63"/>
      <c r="B134" s="63"/>
      <c r="I134" s="63"/>
      <c r="J134" s="65"/>
      <c r="K134" s="65"/>
      <c r="L134" s="63"/>
      <c r="M134" s="65"/>
      <c r="N134" s="63"/>
    </row>
    <row r="135" spans="1:14" ht="15.95" customHeight="1">
      <c r="A135" s="63"/>
      <c r="B135" s="63"/>
      <c r="I135" s="63"/>
      <c r="J135" s="65"/>
      <c r="K135" s="65"/>
      <c r="L135" s="63"/>
      <c r="M135" s="65"/>
      <c r="N135" s="63"/>
    </row>
    <row r="136" spans="1:14" ht="15.95" customHeight="1">
      <c r="A136" s="63"/>
      <c r="B136" s="63"/>
      <c r="I136" s="63"/>
      <c r="J136" s="65"/>
      <c r="K136" s="65"/>
      <c r="L136" s="63"/>
      <c r="M136" s="65"/>
      <c r="N136" s="63"/>
    </row>
    <row r="137" spans="1:14" ht="15.95" customHeight="1">
      <c r="A137" s="63"/>
      <c r="B137" s="63"/>
      <c r="I137" s="63"/>
      <c r="J137" s="65"/>
      <c r="K137" s="65"/>
      <c r="L137" s="63"/>
      <c r="M137" s="65"/>
      <c r="N137" s="63"/>
    </row>
    <row r="138" spans="1:14" ht="15.95" customHeight="1">
      <c r="A138" s="63"/>
      <c r="B138" s="63"/>
      <c r="I138" s="63"/>
      <c r="J138" s="65"/>
      <c r="K138" s="65"/>
      <c r="L138" s="63"/>
      <c r="M138" s="65"/>
      <c r="N138" s="63"/>
    </row>
    <row r="139" spans="1:14" ht="15.95" customHeight="1">
      <c r="A139" s="63"/>
      <c r="B139" s="63"/>
      <c r="I139" s="63"/>
      <c r="J139" s="65"/>
      <c r="K139" s="65"/>
      <c r="L139" s="63"/>
      <c r="M139" s="65"/>
      <c r="N139" s="63"/>
    </row>
    <row r="140" spans="1:14" ht="15.95" customHeight="1">
      <c r="A140" s="63"/>
      <c r="B140" s="63"/>
      <c r="I140" s="63"/>
      <c r="J140" s="65"/>
      <c r="K140" s="65"/>
      <c r="L140" s="63"/>
      <c r="M140" s="65"/>
      <c r="N140" s="63"/>
    </row>
    <row r="141" spans="1:14" ht="15.95" customHeight="1">
      <c r="A141" s="63"/>
      <c r="B141" s="63"/>
      <c r="I141" s="63"/>
      <c r="J141" s="65"/>
      <c r="K141" s="65"/>
      <c r="L141" s="63"/>
      <c r="M141" s="65"/>
      <c r="N141" s="63"/>
    </row>
    <row r="142" spans="1:14" ht="15.95" customHeight="1">
      <c r="A142" s="63"/>
      <c r="B142" s="63"/>
      <c r="I142" s="63"/>
      <c r="J142" s="65"/>
      <c r="K142" s="65"/>
      <c r="L142" s="63"/>
      <c r="M142" s="65"/>
      <c r="N142" s="63"/>
    </row>
    <row r="143" spans="1:14" ht="15.95" customHeight="1">
      <c r="A143" s="63"/>
      <c r="B143" s="63"/>
      <c r="I143" s="63"/>
      <c r="J143" s="65"/>
      <c r="K143" s="65"/>
      <c r="L143" s="63"/>
      <c r="M143" s="65"/>
      <c r="N143" s="63"/>
    </row>
    <row r="144" spans="1:14" ht="15.95" customHeight="1">
      <c r="A144" s="63"/>
      <c r="B144" s="63"/>
      <c r="I144" s="63"/>
      <c r="J144" s="65"/>
      <c r="K144" s="65"/>
      <c r="L144" s="63"/>
      <c r="M144" s="65"/>
      <c r="N144" s="63"/>
    </row>
    <row r="145" spans="1:14" ht="15.95" customHeight="1">
      <c r="A145" s="63"/>
      <c r="B145" s="63"/>
      <c r="I145" s="63"/>
      <c r="J145" s="65"/>
      <c r="K145" s="65"/>
      <c r="L145" s="63"/>
      <c r="M145" s="65"/>
      <c r="N145" s="63"/>
    </row>
    <row r="146" spans="1:14" ht="15.95" customHeight="1">
      <c r="A146" s="63"/>
      <c r="B146" s="63"/>
      <c r="I146" s="63"/>
      <c r="J146" s="65"/>
      <c r="K146" s="65"/>
      <c r="L146" s="63"/>
      <c r="M146" s="65"/>
      <c r="N146" s="63"/>
    </row>
    <row r="147" spans="1:14" ht="15.95" customHeight="1">
      <c r="A147" s="63"/>
      <c r="B147" s="63"/>
      <c r="I147" s="63"/>
      <c r="J147" s="65"/>
      <c r="K147" s="65"/>
      <c r="L147" s="63"/>
      <c r="M147" s="65"/>
      <c r="N147" s="63"/>
    </row>
    <row r="148" spans="1:14" ht="15.95" customHeight="1">
      <c r="A148" s="63"/>
      <c r="B148" s="63"/>
      <c r="I148" s="63"/>
      <c r="J148" s="65"/>
      <c r="K148" s="65"/>
      <c r="L148" s="63"/>
      <c r="M148" s="65"/>
      <c r="N148" s="63"/>
    </row>
    <row r="149" spans="1:14" ht="15.95" customHeight="1">
      <c r="A149" s="63"/>
      <c r="B149" s="63"/>
      <c r="I149" s="63"/>
      <c r="J149" s="65"/>
      <c r="K149" s="65"/>
      <c r="L149" s="63"/>
      <c r="M149" s="65"/>
      <c r="N149" s="63"/>
    </row>
    <row r="150" spans="1:14" ht="15.95" customHeight="1">
      <c r="A150" s="63"/>
      <c r="B150" s="63"/>
      <c r="I150" s="63"/>
      <c r="J150" s="65"/>
      <c r="K150" s="65"/>
      <c r="L150" s="63"/>
      <c r="M150" s="65"/>
      <c r="N150" s="63"/>
    </row>
    <row r="151" spans="1:14" ht="15.95" customHeight="1">
      <c r="A151" s="63"/>
      <c r="B151" s="63"/>
      <c r="I151" s="63"/>
      <c r="J151" s="65"/>
      <c r="K151" s="65"/>
      <c r="L151" s="63"/>
      <c r="M151" s="65"/>
      <c r="N151" s="63"/>
    </row>
    <row r="152" spans="1:14" ht="15.95" customHeight="1">
      <c r="A152" s="63"/>
      <c r="B152" s="63"/>
      <c r="I152" s="63"/>
      <c r="J152" s="65"/>
      <c r="K152" s="65"/>
      <c r="L152" s="63"/>
      <c r="M152" s="65"/>
      <c r="N152" s="63"/>
    </row>
    <row r="153" spans="1:14" ht="15.95" customHeight="1">
      <c r="A153" s="63"/>
      <c r="B153" s="63"/>
      <c r="I153" s="63"/>
      <c r="J153" s="65"/>
      <c r="K153" s="65"/>
      <c r="L153" s="63"/>
      <c r="M153" s="65"/>
      <c r="N153" s="63"/>
    </row>
    <row r="154" spans="1:14" ht="15.95" customHeight="1">
      <c r="A154" s="63"/>
      <c r="B154" s="63"/>
      <c r="I154" s="63"/>
      <c r="J154" s="65"/>
      <c r="K154" s="65"/>
      <c r="L154" s="63"/>
      <c r="M154" s="65"/>
      <c r="N154" s="63"/>
    </row>
    <row r="155" spans="1:14" ht="15.95" customHeight="1">
      <c r="A155" s="63"/>
      <c r="B155" s="63"/>
      <c r="I155" s="63"/>
      <c r="J155" s="65"/>
      <c r="K155" s="65"/>
      <c r="L155" s="63"/>
      <c r="M155" s="65"/>
      <c r="N155" s="63"/>
    </row>
    <row r="156" spans="1:14" ht="15.95" customHeight="1">
      <c r="A156" s="63"/>
      <c r="B156" s="63"/>
      <c r="I156" s="63"/>
      <c r="J156" s="65"/>
      <c r="K156" s="65"/>
      <c r="L156" s="63"/>
      <c r="M156" s="65"/>
      <c r="N156" s="63"/>
    </row>
    <row r="157" spans="1:14" ht="15.95" customHeight="1">
      <c r="A157" s="63"/>
      <c r="B157" s="63"/>
      <c r="I157" s="63"/>
      <c r="J157" s="65"/>
      <c r="K157" s="65"/>
      <c r="L157" s="63"/>
      <c r="M157" s="65"/>
      <c r="N157" s="63"/>
    </row>
    <row r="158" spans="1:14" ht="15.95" customHeight="1">
      <c r="A158" s="63"/>
      <c r="B158" s="63"/>
      <c r="I158" s="63"/>
      <c r="J158" s="65"/>
      <c r="K158" s="65"/>
      <c r="L158" s="63"/>
      <c r="M158" s="65"/>
      <c r="N158" s="63"/>
    </row>
    <row r="159" spans="1:14" ht="15.95" customHeight="1">
      <c r="A159" s="63"/>
      <c r="B159" s="63"/>
      <c r="I159" s="63"/>
      <c r="J159" s="65"/>
      <c r="K159" s="65"/>
      <c r="L159" s="63"/>
      <c r="M159" s="65"/>
      <c r="N159" s="63"/>
    </row>
    <row r="160" spans="1:14" ht="15.95" customHeight="1">
      <c r="A160" s="63"/>
      <c r="B160" s="63"/>
      <c r="I160" s="63"/>
      <c r="J160" s="65"/>
      <c r="K160" s="65"/>
      <c r="L160" s="63"/>
      <c r="M160" s="65"/>
      <c r="N160" s="63"/>
    </row>
    <row r="161" spans="1:14" ht="15.95" customHeight="1">
      <c r="A161" s="63"/>
      <c r="B161" s="63"/>
      <c r="I161" s="63"/>
      <c r="J161" s="65"/>
      <c r="K161" s="65"/>
      <c r="L161" s="63"/>
      <c r="M161" s="65"/>
      <c r="N161" s="63"/>
    </row>
    <row r="162" spans="1:14" ht="15.95" customHeight="1">
      <c r="A162" s="63"/>
      <c r="B162" s="63"/>
      <c r="I162" s="63"/>
      <c r="J162" s="65"/>
      <c r="K162" s="65"/>
      <c r="L162" s="63"/>
      <c r="M162" s="65"/>
      <c r="N162" s="63"/>
    </row>
    <row r="163" spans="1:14" ht="15.95" customHeight="1">
      <c r="A163" s="63"/>
      <c r="B163" s="63"/>
      <c r="I163" s="63"/>
      <c r="J163" s="65"/>
      <c r="K163" s="65"/>
      <c r="L163" s="63"/>
      <c r="M163" s="65"/>
      <c r="N163" s="63"/>
    </row>
    <row r="164" spans="1:14" ht="15.95" customHeight="1">
      <c r="A164" s="63"/>
      <c r="B164" s="63"/>
      <c r="I164" s="63"/>
      <c r="J164" s="65"/>
      <c r="K164" s="65"/>
      <c r="L164" s="63"/>
      <c r="M164" s="65"/>
      <c r="N164" s="63"/>
    </row>
    <row r="165" spans="1:14" ht="15.95" customHeight="1">
      <c r="A165" s="63"/>
      <c r="B165" s="63"/>
      <c r="I165" s="63"/>
      <c r="J165" s="65"/>
      <c r="K165" s="65"/>
      <c r="L165" s="63"/>
      <c r="M165" s="65"/>
      <c r="N165" s="63"/>
    </row>
    <row r="166" spans="1:14" ht="15.95" customHeight="1">
      <c r="A166" s="63"/>
      <c r="B166" s="63"/>
      <c r="I166" s="63"/>
      <c r="J166" s="65"/>
      <c r="K166" s="65"/>
      <c r="L166" s="63"/>
      <c r="M166" s="65"/>
      <c r="N166" s="63"/>
    </row>
    <row r="167" spans="1:14" ht="15.95" customHeight="1">
      <c r="A167" s="63"/>
      <c r="B167" s="63"/>
      <c r="I167" s="63"/>
      <c r="J167" s="65"/>
      <c r="K167" s="65"/>
      <c r="L167" s="63"/>
      <c r="M167" s="65"/>
      <c r="N167" s="63"/>
    </row>
    <row r="168" spans="1:14" ht="15.95" customHeight="1">
      <c r="A168" s="63"/>
      <c r="B168" s="63"/>
      <c r="I168" s="63"/>
      <c r="J168" s="65"/>
      <c r="K168" s="65"/>
      <c r="L168" s="63"/>
      <c r="M168" s="65"/>
      <c r="N168" s="63"/>
    </row>
    <row r="169" spans="1:14" ht="15.95" customHeight="1">
      <c r="A169" s="63"/>
      <c r="B169" s="63"/>
      <c r="I169" s="63"/>
      <c r="J169" s="65"/>
      <c r="K169" s="65"/>
      <c r="L169" s="63"/>
      <c r="M169" s="65"/>
      <c r="N169" s="63"/>
    </row>
    <row r="170" spans="1:14" ht="15.95" customHeight="1">
      <c r="A170" s="63"/>
      <c r="B170" s="63"/>
      <c r="I170" s="63"/>
      <c r="J170" s="65"/>
      <c r="K170" s="65"/>
      <c r="L170" s="63"/>
      <c r="M170" s="65"/>
      <c r="N170" s="63"/>
    </row>
    <row r="171" spans="1:14" ht="15.95" customHeight="1">
      <c r="A171" s="63"/>
      <c r="B171" s="63"/>
      <c r="I171" s="63"/>
      <c r="J171" s="65"/>
      <c r="K171" s="65"/>
      <c r="L171" s="63"/>
      <c r="M171" s="65"/>
      <c r="N171" s="63"/>
    </row>
    <row r="172" spans="1:14" ht="15.95" customHeight="1">
      <c r="A172" s="63"/>
      <c r="B172" s="63"/>
      <c r="I172" s="63"/>
      <c r="J172" s="65"/>
      <c r="K172" s="65"/>
      <c r="L172" s="63"/>
      <c r="M172" s="65"/>
      <c r="N172" s="63"/>
    </row>
    <row r="173" spans="1:14" ht="15.95" customHeight="1">
      <c r="A173" s="63"/>
      <c r="B173" s="63"/>
      <c r="I173" s="63"/>
      <c r="J173" s="65"/>
      <c r="K173" s="65"/>
      <c r="L173" s="63"/>
      <c r="M173" s="65"/>
      <c r="N173" s="63"/>
    </row>
    <row r="174" spans="1:14" ht="15.95" customHeight="1">
      <c r="A174" s="63"/>
      <c r="B174" s="63"/>
      <c r="I174" s="63"/>
      <c r="J174" s="65"/>
      <c r="K174" s="65"/>
      <c r="L174" s="63"/>
      <c r="M174" s="65"/>
      <c r="N174" s="63"/>
    </row>
    <row r="175" spans="1:14" ht="15.95" customHeight="1">
      <c r="A175" s="63"/>
      <c r="B175" s="63"/>
      <c r="I175" s="63"/>
      <c r="J175" s="65"/>
      <c r="K175" s="65"/>
      <c r="L175" s="63"/>
      <c r="M175" s="65"/>
      <c r="N175" s="63"/>
    </row>
    <row r="176" spans="1:14" ht="15.95" customHeight="1">
      <c r="A176" s="63"/>
      <c r="B176" s="63"/>
      <c r="I176" s="63"/>
      <c r="J176" s="65"/>
      <c r="K176" s="65"/>
      <c r="L176" s="63"/>
      <c r="M176" s="65"/>
      <c r="N176" s="63"/>
    </row>
    <row r="177" spans="1:14" ht="15.95" customHeight="1">
      <c r="A177" s="63"/>
      <c r="B177" s="63"/>
      <c r="I177" s="63"/>
      <c r="J177" s="65"/>
      <c r="K177" s="65"/>
      <c r="L177" s="63"/>
      <c r="M177" s="65"/>
      <c r="N177" s="63"/>
    </row>
    <row r="178" spans="1:14" ht="15.95" customHeight="1">
      <c r="A178" s="63"/>
      <c r="B178" s="63"/>
      <c r="I178" s="63"/>
      <c r="J178" s="65"/>
      <c r="K178" s="65"/>
      <c r="L178" s="63"/>
      <c r="M178" s="65"/>
      <c r="N178" s="63"/>
    </row>
    <row r="179" spans="1:14" ht="15.95" customHeight="1">
      <c r="A179" s="63"/>
      <c r="B179" s="63"/>
      <c r="I179" s="63"/>
      <c r="J179" s="65"/>
      <c r="K179" s="65"/>
      <c r="L179" s="63"/>
      <c r="M179" s="65"/>
      <c r="N179" s="63"/>
    </row>
    <row r="180" spans="1:14" ht="15.95" customHeight="1">
      <c r="A180" s="63"/>
      <c r="B180" s="63"/>
      <c r="I180" s="63"/>
      <c r="J180" s="65"/>
      <c r="K180" s="65"/>
      <c r="L180" s="63"/>
      <c r="M180" s="65"/>
      <c r="N180" s="63"/>
    </row>
    <row r="181" spans="1:14" ht="15.95" customHeight="1">
      <c r="A181" s="63"/>
      <c r="B181" s="63"/>
      <c r="I181" s="63"/>
      <c r="J181" s="65"/>
      <c r="K181" s="65"/>
      <c r="L181" s="63"/>
      <c r="M181" s="65"/>
      <c r="N181" s="63"/>
    </row>
    <row r="182" spans="1:14" ht="15.95" customHeight="1">
      <c r="A182" s="63"/>
      <c r="B182" s="63"/>
      <c r="I182" s="63"/>
      <c r="J182" s="65"/>
      <c r="K182" s="65"/>
      <c r="L182" s="63"/>
      <c r="M182" s="65"/>
      <c r="N182" s="63"/>
    </row>
    <row r="183" spans="1:14" ht="15.95" customHeight="1">
      <c r="A183" s="63"/>
      <c r="B183" s="63"/>
      <c r="I183" s="63"/>
      <c r="J183" s="65"/>
      <c r="K183" s="65"/>
      <c r="L183" s="63"/>
      <c r="M183" s="65"/>
      <c r="N183" s="63"/>
    </row>
    <row r="184" spans="1:14" ht="15.95" customHeight="1">
      <c r="A184" s="63"/>
      <c r="B184" s="63"/>
      <c r="I184" s="63"/>
      <c r="J184" s="65"/>
      <c r="K184" s="65"/>
      <c r="L184" s="63"/>
      <c r="M184" s="65"/>
      <c r="N184" s="63"/>
    </row>
    <row r="185" spans="1:14" ht="15.95" customHeight="1">
      <c r="A185" s="63"/>
      <c r="B185" s="63"/>
      <c r="I185" s="63"/>
      <c r="J185" s="65"/>
      <c r="K185" s="65"/>
      <c r="L185" s="63"/>
      <c r="M185" s="65"/>
      <c r="N185" s="63"/>
    </row>
    <row r="186" spans="1:14" ht="15.95" customHeight="1">
      <c r="A186" s="63"/>
      <c r="B186" s="63"/>
      <c r="I186" s="63"/>
      <c r="J186" s="65"/>
      <c r="K186" s="65"/>
      <c r="L186" s="63"/>
      <c r="M186" s="65"/>
      <c r="N186" s="63"/>
    </row>
    <row r="187" spans="1:14" ht="15.95" customHeight="1">
      <c r="A187" s="63"/>
      <c r="B187" s="63"/>
      <c r="I187" s="63"/>
      <c r="J187" s="65"/>
      <c r="K187" s="65"/>
      <c r="L187" s="63"/>
      <c r="M187" s="65"/>
      <c r="N187" s="63"/>
    </row>
    <row r="188" spans="1:14" ht="15.95" customHeight="1">
      <c r="A188" s="63"/>
      <c r="B188" s="63"/>
      <c r="I188" s="63"/>
      <c r="J188" s="65"/>
      <c r="K188" s="65"/>
      <c r="L188" s="63"/>
      <c r="M188" s="65"/>
      <c r="N188" s="63"/>
    </row>
    <row r="189" spans="1:14" ht="15.95" customHeight="1">
      <c r="A189" s="63"/>
      <c r="B189" s="63"/>
      <c r="I189" s="63"/>
      <c r="J189" s="65"/>
      <c r="K189" s="65"/>
      <c r="L189" s="63"/>
      <c r="M189" s="65"/>
      <c r="N189" s="63"/>
    </row>
    <row r="190" spans="1:14" ht="15.95" customHeight="1">
      <c r="A190" s="63"/>
      <c r="B190" s="63"/>
      <c r="I190" s="63"/>
      <c r="J190" s="65"/>
      <c r="K190" s="65"/>
      <c r="L190" s="63"/>
      <c r="M190" s="65"/>
      <c r="N190" s="63"/>
    </row>
    <row r="191" spans="1:14" ht="15.95" customHeight="1">
      <c r="A191" s="63"/>
      <c r="B191" s="63"/>
      <c r="I191" s="63"/>
      <c r="J191" s="65"/>
      <c r="K191" s="65"/>
      <c r="L191" s="63"/>
      <c r="M191" s="65"/>
      <c r="N191" s="63"/>
    </row>
    <row r="192" spans="1:14" ht="15.95" customHeight="1">
      <c r="A192" s="63"/>
      <c r="B192" s="63"/>
      <c r="I192" s="63"/>
      <c r="J192" s="65"/>
      <c r="K192" s="65"/>
      <c r="L192" s="63"/>
      <c r="M192" s="65"/>
      <c r="N192" s="63"/>
    </row>
    <row r="193" spans="1:14" ht="15.95" customHeight="1">
      <c r="A193" s="63"/>
      <c r="B193" s="63"/>
      <c r="I193" s="63"/>
      <c r="J193" s="65"/>
      <c r="K193" s="65"/>
      <c r="L193" s="63"/>
      <c r="M193" s="65"/>
      <c r="N193" s="63"/>
    </row>
    <row r="194" spans="1:14" ht="15.95" customHeight="1">
      <c r="A194" s="63"/>
      <c r="B194" s="63"/>
      <c r="I194" s="63"/>
      <c r="J194" s="65"/>
      <c r="K194" s="65"/>
      <c r="L194" s="63"/>
      <c r="M194" s="65"/>
      <c r="N194" s="63"/>
    </row>
    <row r="195" spans="1:14" ht="15.95" customHeight="1">
      <c r="A195" s="63"/>
      <c r="B195" s="63"/>
      <c r="I195" s="63"/>
      <c r="J195" s="65"/>
      <c r="K195" s="65"/>
      <c r="L195" s="63"/>
      <c r="M195" s="65"/>
      <c r="N195" s="63"/>
    </row>
    <row r="196" spans="1:14" ht="15.95" customHeight="1">
      <c r="A196" s="63"/>
      <c r="B196" s="63"/>
      <c r="I196" s="63"/>
      <c r="J196" s="65"/>
      <c r="K196" s="65"/>
      <c r="L196" s="63"/>
      <c r="M196" s="65"/>
      <c r="N196" s="63"/>
    </row>
    <row r="197" spans="1:14" ht="15.95" customHeight="1">
      <c r="A197" s="63"/>
      <c r="B197" s="63"/>
      <c r="I197" s="63"/>
      <c r="J197" s="65"/>
      <c r="K197" s="65"/>
      <c r="L197" s="63"/>
      <c r="M197" s="65"/>
      <c r="N197" s="63"/>
    </row>
    <row r="198" spans="1:14" ht="15.95" customHeight="1">
      <c r="A198" s="63"/>
      <c r="B198" s="63"/>
      <c r="I198" s="63"/>
      <c r="J198" s="65"/>
      <c r="K198" s="65"/>
      <c r="L198" s="63"/>
      <c r="M198" s="65"/>
      <c r="N198" s="63"/>
    </row>
    <row r="199" spans="1:14" ht="15.95" customHeight="1">
      <c r="A199" s="63"/>
      <c r="B199" s="63"/>
      <c r="I199" s="63"/>
      <c r="J199" s="65"/>
      <c r="K199" s="65"/>
      <c r="L199" s="63"/>
      <c r="M199" s="65"/>
      <c r="N199" s="63"/>
    </row>
    <row r="200" spans="1:14" ht="15.95" customHeight="1">
      <c r="A200" s="63"/>
      <c r="B200" s="63"/>
      <c r="I200" s="63"/>
      <c r="J200" s="65"/>
      <c r="K200" s="65"/>
      <c r="L200" s="63"/>
      <c r="M200" s="65"/>
      <c r="N200" s="63"/>
    </row>
    <row r="201" spans="1:14" ht="15.95" customHeight="1">
      <c r="A201" s="63"/>
      <c r="B201" s="63"/>
      <c r="I201" s="63"/>
      <c r="J201" s="65"/>
      <c r="K201" s="65"/>
      <c r="L201" s="63"/>
      <c r="M201" s="65"/>
      <c r="N201" s="63"/>
    </row>
    <row r="202" spans="1:14" ht="15.95" customHeight="1">
      <c r="A202" s="63"/>
      <c r="B202" s="63"/>
      <c r="I202" s="63"/>
      <c r="J202" s="65"/>
      <c r="K202" s="65"/>
      <c r="L202" s="63"/>
      <c r="M202" s="65"/>
      <c r="N202" s="63"/>
    </row>
    <row r="203" spans="1:14" ht="15.95" customHeight="1">
      <c r="A203" s="63"/>
      <c r="B203" s="63"/>
      <c r="I203" s="63"/>
      <c r="J203" s="65"/>
      <c r="K203" s="65"/>
      <c r="L203" s="63"/>
      <c r="M203" s="65"/>
      <c r="N203" s="63"/>
    </row>
    <row r="204" spans="1:14" ht="15.95" customHeight="1">
      <c r="A204" s="63"/>
      <c r="B204" s="63"/>
      <c r="I204" s="63"/>
      <c r="J204" s="65"/>
      <c r="K204" s="65"/>
      <c r="L204" s="63"/>
      <c r="M204" s="65"/>
      <c r="N204" s="63"/>
    </row>
    <row r="205" spans="1:14" ht="15.95" customHeight="1">
      <c r="A205" s="63"/>
      <c r="B205" s="63"/>
      <c r="I205" s="63"/>
      <c r="J205" s="65"/>
      <c r="K205" s="65"/>
      <c r="L205" s="63"/>
      <c r="M205" s="65"/>
      <c r="N205" s="63"/>
    </row>
    <row r="206" spans="1:14" ht="15.95" customHeight="1">
      <c r="A206" s="63"/>
      <c r="B206" s="63"/>
      <c r="I206" s="63"/>
      <c r="J206" s="65"/>
      <c r="K206" s="65"/>
      <c r="L206" s="63"/>
      <c r="M206" s="65"/>
      <c r="N206" s="63"/>
    </row>
    <row r="207" spans="1:14" ht="15.95" customHeight="1">
      <c r="A207" s="63"/>
      <c r="B207" s="63"/>
      <c r="I207" s="63"/>
      <c r="J207" s="65"/>
      <c r="K207" s="65"/>
      <c r="L207" s="63"/>
      <c r="M207" s="65"/>
      <c r="N207" s="63"/>
    </row>
    <row r="208" spans="1:14" ht="15.95" customHeight="1">
      <c r="A208" s="63"/>
      <c r="B208" s="63"/>
      <c r="I208" s="63"/>
      <c r="J208" s="65"/>
      <c r="K208" s="65"/>
      <c r="L208" s="63"/>
      <c r="M208" s="65"/>
      <c r="N208" s="63"/>
    </row>
    <row r="209" spans="1:14" ht="15.95" customHeight="1">
      <c r="A209" s="63"/>
      <c r="B209" s="63"/>
      <c r="I209" s="63"/>
      <c r="J209" s="65"/>
      <c r="K209" s="65"/>
      <c r="L209" s="63"/>
      <c r="M209" s="65"/>
      <c r="N209" s="63"/>
    </row>
    <row r="210" spans="1:14" ht="15.95" customHeight="1">
      <c r="A210" s="63"/>
      <c r="B210" s="63"/>
      <c r="I210" s="63"/>
      <c r="J210" s="65"/>
      <c r="K210" s="65"/>
      <c r="L210" s="63"/>
      <c r="M210" s="65"/>
      <c r="N210" s="63"/>
    </row>
    <row r="211" spans="1:14" ht="15.95" customHeight="1">
      <c r="A211" s="63"/>
      <c r="B211" s="63"/>
      <c r="I211" s="63"/>
      <c r="J211" s="65"/>
      <c r="K211" s="65"/>
      <c r="L211" s="63"/>
      <c r="M211" s="65"/>
      <c r="N211" s="63"/>
    </row>
    <row r="212" spans="1:14" ht="15.95" customHeight="1">
      <c r="A212" s="63"/>
      <c r="B212" s="63"/>
      <c r="I212" s="63"/>
      <c r="J212" s="65"/>
      <c r="K212" s="65"/>
      <c r="L212" s="63"/>
      <c r="M212" s="65"/>
      <c r="N212" s="63"/>
    </row>
    <row r="213" spans="1:14" ht="15.95" customHeight="1">
      <c r="A213" s="63"/>
      <c r="B213" s="63"/>
      <c r="I213" s="63"/>
      <c r="J213" s="65"/>
      <c r="K213" s="65"/>
      <c r="L213" s="63"/>
      <c r="M213" s="65"/>
      <c r="N213" s="63"/>
    </row>
    <row r="214" spans="1:14" ht="15.95" customHeight="1">
      <c r="A214" s="63"/>
      <c r="B214" s="63"/>
      <c r="I214" s="63"/>
      <c r="J214" s="65"/>
      <c r="K214" s="65"/>
      <c r="L214" s="63"/>
      <c r="M214" s="65"/>
      <c r="N214" s="63"/>
    </row>
    <row r="215" spans="1:14" ht="15.95" customHeight="1">
      <c r="A215" s="63"/>
      <c r="B215" s="63"/>
      <c r="I215" s="63"/>
      <c r="J215" s="65"/>
      <c r="K215" s="65"/>
      <c r="L215" s="63"/>
      <c r="M215" s="65"/>
      <c r="N215" s="63"/>
    </row>
    <row r="216" spans="1:14" ht="15.95" customHeight="1">
      <c r="A216" s="63"/>
      <c r="B216" s="63"/>
      <c r="I216" s="63"/>
      <c r="J216" s="65"/>
      <c r="K216" s="65"/>
      <c r="L216" s="63"/>
      <c r="M216" s="65"/>
      <c r="N216" s="63"/>
    </row>
    <row r="217" spans="1:14" ht="15.95" customHeight="1">
      <c r="A217" s="63"/>
      <c r="B217" s="63"/>
      <c r="I217" s="63"/>
      <c r="J217" s="65"/>
      <c r="K217" s="65"/>
      <c r="L217" s="63"/>
      <c r="M217" s="65"/>
      <c r="N217" s="63"/>
    </row>
    <row r="218" spans="1:14" ht="15.95" customHeight="1">
      <c r="A218" s="63"/>
      <c r="B218" s="63"/>
      <c r="I218" s="63"/>
      <c r="J218" s="65"/>
      <c r="K218" s="65"/>
      <c r="L218" s="63"/>
      <c r="M218" s="65"/>
      <c r="N218" s="63"/>
    </row>
    <row r="219" spans="1:14" ht="15.95" customHeight="1">
      <c r="A219" s="63"/>
      <c r="B219" s="63"/>
      <c r="I219" s="63"/>
      <c r="J219" s="65"/>
      <c r="K219" s="65"/>
      <c r="L219" s="63"/>
      <c r="M219" s="65"/>
      <c r="N219" s="63"/>
    </row>
    <row r="220" spans="1:14" ht="15.95" customHeight="1">
      <c r="A220" s="63"/>
      <c r="B220" s="63"/>
      <c r="I220" s="63"/>
      <c r="J220" s="65"/>
      <c r="K220" s="65"/>
      <c r="L220" s="63"/>
      <c r="M220" s="65"/>
      <c r="N220" s="63"/>
    </row>
    <row r="221" spans="1:14" ht="15.95" customHeight="1">
      <c r="A221" s="63"/>
      <c r="B221" s="63"/>
      <c r="I221" s="63"/>
      <c r="J221" s="65"/>
      <c r="K221" s="65"/>
      <c r="L221" s="63"/>
      <c r="M221" s="65"/>
      <c r="N221" s="63"/>
    </row>
    <row r="222" spans="1:14" ht="15.95" customHeight="1">
      <c r="A222" s="63"/>
      <c r="B222" s="63"/>
      <c r="I222" s="63"/>
      <c r="J222" s="65"/>
      <c r="K222" s="65"/>
      <c r="L222" s="63"/>
      <c r="M222" s="65"/>
      <c r="N222" s="63"/>
    </row>
    <row r="223" spans="1:14" ht="15.95" customHeight="1">
      <c r="A223" s="63"/>
      <c r="B223" s="63"/>
      <c r="I223" s="63"/>
      <c r="J223" s="65"/>
      <c r="K223" s="65"/>
      <c r="L223" s="63"/>
      <c r="M223" s="65"/>
      <c r="N223" s="63"/>
    </row>
    <row r="224" spans="1:14" ht="15.95" customHeight="1">
      <c r="A224" s="63"/>
      <c r="B224" s="63"/>
      <c r="I224" s="63"/>
      <c r="J224" s="65"/>
      <c r="K224" s="65"/>
      <c r="L224" s="63"/>
      <c r="M224" s="65"/>
      <c r="N224" s="63"/>
    </row>
    <row r="225" spans="1:14" ht="15.95" customHeight="1">
      <c r="A225" s="63"/>
      <c r="B225" s="63"/>
      <c r="I225" s="63"/>
      <c r="J225" s="65"/>
      <c r="K225" s="65"/>
      <c r="L225" s="63"/>
      <c r="M225" s="65"/>
      <c r="N225" s="63"/>
    </row>
    <row r="226" spans="1:14" ht="15.95" customHeight="1">
      <c r="A226" s="63"/>
      <c r="B226" s="63"/>
      <c r="I226" s="63"/>
      <c r="J226" s="65"/>
      <c r="K226" s="65"/>
      <c r="L226" s="63"/>
      <c r="M226" s="65"/>
      <c r="N226" s="63"/>
    </row>
    <row r="227" spans="1:14" ht="15.95" customHeight="1">
      <c r="A227" s="63"/>
      <c r="B227" s="63"/>
      <c r="I227" s="63"/>
      <c r="J227" s="65"/>
      <c r="K227" s="65"/>
      <c r="L227" s="63"/>
      <c r="M227" s="65"/>
      <c r="N227" s="63"/>
    </row>
    <row r="228" spans="1:14" ht="15.95" customHeight="1">
      <c r="A228" s="63"/>
      <c r="B228" s="63"/>
      <c r="I228" s="63"/>
      <c r="J228" s="65"/>
      <c r="K228" s="65"/>
      <c r="L228" s="63"/>
      <c r="M228" s="65"/>
      <c r="N228" s="63"/>
    </row>
    <row r="229" spans="1:14" ht="15.95" customHeight="1">
      <c r="A229" s="63"/>
      <c r="B229" s="63"/>
      <c r="I229" s="63"/>
      <c r="J229" s="65"/>
      <c r="K229" s="65"/>
      <c r="L229" s="63"/>
      <c r="M229" s="65"/>
      <c r="N229" s="63"/>
    </row>
    <row r="230" spans="1:14" ht="15.95" customHeight="1">
      <c r="A230" s="63"/>
      <c r="B230" s="63"/>
      <c r="I230" s="63"/>
      <c r="J230" s="65"/>
      <c r="K230" s="65"/>
      <c r="L230" s="63"/>
      <c r="M230" s="65"/>
      <c r="N230" s="63"/>
    </row>
    <row r="231" spans="1:14" ht="15.95" customHeight="1">
      <c r="A231" s="63"/>
      <c r="B231" s="63"/>
      <c r="I231" s="63"/>
      <c r="J231" s="65"/>
      <c r="K231" s="65"/>
      <c r="L231" s="63"/>
      <c r="M231" s="65"/>
      <c r="N231" s="63"/>
    </row>
    <row r="232" spans="1:14" ht="15.95" customHeight="1">
      <c r="A232" s="63"/>
      <c r="B232" s="63"/>
      <c r="I232" s="63"/>
      <c r="J232" s="65"/>
      <c r="K232" s="65"/>
      <c r="L232" s="63"/>
      <c r="M232" s="65"/>
      <c r="N232" s="63"/>
    </row>
    <row r="233" spans="1:14" ht="15.95" customHeight="1">
      <c r="A233" s="63"/>
      <c r="B233" s="63"/>
      <c r="I233" s="63"/>
      <c r="J233" s="65"/>
      <c r="K233" s="65"/>
      <c r="L233" s="63"/>
      <c r="M233" s="65"/>
      <c r="N233" s="63"/>
    </row>
    <row r="234" spans="1:14" ht="15.95" customHeight="1">
      <c r="A234" s="63"/>
      <c r="B234" s="63"/>
      <c r="I234" s="63"/>
      <c r="J234" s="65"/>
      <c r="K234" s="65"/>
      <c r="L234" s="63"/>
      <c r="M234" s="65"/>
      <c r="N234" s="63"/>
    </row>
    <row r="235" spans="1:14" ht="15.95" customHeight="1">
      <c r="A235" s="63"/>
      <c r="B235" s="63"/>
      <c r="I235" s="63"/>
      <c r="J235" s="65"/>
      <c r="K235" s="65"/>
      <c r="L235" s="63"/>
      <c r="M235" s="65"/>
      <c r="N235" s="63"/>
    </row>
    <row r="236" spans="1:14" ht="15.95" customHeight="1">
      <c r="A236" s="63"/>
      <c r="B236" s="63"/>
      <c r="I236" s="63"/>
      <c r="J236" s="65"/>
      <c r="K236" s="65"/>
      <c r="L236" s="63"/>
      <c r="M236" s="65"/>
      <c r="N236" s="63"/>
    </row>
    <row r="237" spans="1:14" ht="15.95" customHeight="1">
      <c r="A237" s="63"/>
      <c r="B237" s="63"/>
      <c r="I237" s="63"/>
      <c r="J237" s="65"/>
      <c r="K237" s="65"/>
      <c r="L237" s="63"/>
      <c r="M237" s="65"/>
      <c r="N237" s="63"/>
    </row>
    <row r="238" spans="1:14" ht="15.95" customHeight="1">
      <c r="A238" s="63"/>
      <c r="B238" s="63"/>
      <c r="I238" s="63"/>
      <c r="J238" s="65"/>
      <c r="K238" s="65"/>
      <c r="L238" s="63"/>
      <c r="M238" s="65"/>
      <c r="N238" s="63"/>
    </row>
    <row r="239" spans="1:14" ht="15.95" customHeight="1">
      <c r="A239" s="63"/>
      <c r="B239" s="63"/>
      <c r="I239" s="63"/>
      <c r="J239" s="65"/>
      <c r="K239" s="65"/>
      <c r="L239" s="63"/>
      <c r="M239" s="65"/>
      <c r="N239" s="63"/>
    </row>
    <row r="240" spans="1:14" ht="15.95" customHeight="1">
      <c r="A240" s="63"/>
      <c r="B240" s="63"/>
      <c r="I240" s="63"/>
      <c r="J240" s="65"/>
      <c r="K240" s="65"/>
      <c r="L240" s="63"/>
      <c r="M240" s="65"/>
      <c r="N240" s="63"/>
    </row>
    <row r="241" spans="1:14" ht="15.95" customHeight="1">
      <c r="A241" s="63"/>
      <c r="B241" s="63"/>
      <c r="I241" s="63"/>
      <c r="J241" s="65"/>
      <c r="K241" s="65"/>
      <c r="L241" s="63"/>
      <c r="M241" s="65"/>
      <c r="N241" s="63"/>
    </row>
    <row r="242" spans="1:14" ht="15.95" customHeight="1">
      <c r="A242" s="63"/>
      <c r="B242" s="63"/>
      <c r="I242" s="63"/>
      <c r="J242" s="65"/>
      <c r="K242" s="65"/>
      <c r="L242" s="63"/>
      <c r="M242" s="65"/>
      <c r="N242" s="63"/>
    </row>
    <row r="243" spans="1:14" ht="15.95" customHeight="1">
      <c r="A243" s="63"/>
      <c r="B243" s="63"/>
      <c r="I243" s="63"/>
      <c r="J243" s="65"/>
      <c r="K243" s="65"/>
      <c r="L243" s="63"/>
      <c r="M243" s="65"/>
      <c r="N243" s="63"/>
    </row>
    <row r="244" spans="1:14" ht="15.95" customHeight="1">
      <c r="A244" s="63"/>
      <c r="B244" s="63"/>
      <c r="I244" s="63"/>
      <c r="J244" s="65"/>
      <c r="K244" s="65"/>
      <c r="L244" s="63"/>
      <c r="M244" s="65"/>
      <c r="N244" s="63"/>
    </row>
    <row r="245" spans="1:14" ht="15.95" customHeight="1">
      <c r="A245" s="63"/>
      <c r="B245" s="63"/>
      <c r="I245" s="63"/>
      <c r="J245" s="65"/>
      <c r="K245" s="65"/>
      <c r="L245" s="63"/>
      <c r="M245" s="65"/>
      <c r="N245" s="63"/>
    </row>
    <row r="246" spans="1:14" ht="15.95" customHeight="1">
      <c r="A246" s="63"/>
      <c r="B246" s="63"/>
      <c r="I246" s="63"/>
      <c r="J246" s="65"/>
      <c r="K246" s="65"/>
      <c r="L246" s="63"/>
      <c r="M246" s="65"/>
      <c r="N246" s="63"/>
    </row>
    <row r="247" spans="1:14" ht="15.95" customHeight="1">
      <c r="A247" s="63"/>
      <c r="B247" s="63"/>
      <c r="I247" s="63"/>
      <c r="J247" s="65"/>
      <c r="K247" s="65"/>
      <c r="L247" s="63"/>
      <c r="M247" s="65"/>
      <c r="N247" s="63"/>
    </row>
    <row r="248" spans="1:14" ht="15.95" customHeight="1">
      <c r="A248" s="63"/>
      <c r="B248" s="63"/>
      <c r="I248" s="63"/>
      <c r="J248" s="65"/>
      <c r="K248" s="65"/>
      <c r="L248" s="63"/>
      <c r="M248" s="65"/>
      <c r="N248" s="63"/>
    </row>
    <row r="249" spans="1:14" ht="15.95" customHeight="1">
      <c r="A249" s="63"/>
      <c r="B249" s="63"/>
      <c r="I249" s="63"/>
      <c r="J249" s="65"/>
      <c r="K249" s="65"/>
      <c r="L249" s="63"/>
      <c r="M249" s="65"/>
      <c r="N249" s="63"/>
    </row>
    <row r="250" spans="1:14" ht="15.95" customHeight="1">
      <c r="A250" s="63"/>
      <c r="B250" s="63"/>
      <c r="I250" s="63"/>
      <c r="J250" s="65"/>
      <c r="K250" s="65"/>
      <c r="L250" s="63"/>
      <c r="M250" s="65"/>
      <c r="N250" s="63"/>
    </row>
    <row r="251" spans="1:14" ht="15.95" customHeight="1">
      <c r="A251" s="63"/>
      <c r="B251" s="63"/>
      <c r="I251" s="63"/>
      <c r="J251" s="65"/>
      <c r="K251" s="65"/>
      <c r="L251" s="63"/>
      <c r="M251" s="65"/>
      <c r="N251" s="63"/>
    </row>
    <row r="252" spans="1:14" ht="15.95" customHeight="1">
      <c r="A252" s="63"/>
      <c r="B252" s="63"/>
      <c r="I252" s="63"/>
      <c r="J252" s="65"/>
      <c r="K252" s="65"/>
      <c r="L252" s="63"/>
      <c r="M252" s="65"/>
      <c r="N252" s="63"/>
    </row>
    <row r="253" spans="1:14" ht="15.95" customHeight="1">
      <c r="A253" s="63"/>
      <c r="B253" s="63"/>
      <c r="I253" s="63"/>
      <c r="J253" s="65"/>
      <c r="K253" s="65"/>
      <c r="L253" s="63"/>
      <c r="M253" s="65"/>
      <c r="N253" s="63"/>
    </row>
    <row r="254" spans="1:14" ht="15.95" customHeight="1">
      <c r="A254" s="63"/>
      <c r="B254" s="63"/>
      <c r="I254" s="63"/>
      <c r="J254" s="65"/>
      <c r="K254" s="65"/>
      <c r="L254" s="63"/>
      <c r="M254" s="65"/>
      <c r="N254" s="63"/>
    </row>
    <row r="255" spans="1:14" ht="15.95" customHeight="1">
      <c r="A255" s="63"/>
      <c r="B255" s="63"/>
      <c r="I255" s="63"/>
      <c r="J255" s="65"/>
      <c r="K255" s="65"/>
      <c r="L255" s="63"/>
      <c r="M255" s="65"/>
      <c r="N255" s="63"/>
    </row>
    <row r="256" spans="1:14" ht="15.95" customHeight="1">
      <c r="A256" s="63"/>
      <c r="B256" s="63"/>
      <c r="I256" s="63"/>
      <c r="J256" s="65"/>
      <c r="K256" s="65"/>
      <c r="L256" s="63"/>
      <c r="M256" s="65"/>
      <c r="N256" s="63"/>
    </row>
    <row r="257" spans="1:14" ht="15.95" customHeight="1">
      <c r="A257" s="63"/>
      <c r="B257" s="63"/>
      <c r="I257" s="63"/>
      <c r="J257" s="65"/>
      <c r="K257" s="65"/>
      <c r="L257" s="63"/>
      <c r="M257" s="65"/>
      <c r="N257" s="63"/>
    </row>
    <row r="258" spans="1:14" ht="15.95" customHeight="1">
      <c r="A258" s="63"/>
      <c r="B258" s="63"/>
      <c r="I258" s="63"/>
      <c r="J258" s="65"/>
      <c r="K258" s="65"/>
      <c r="L258" s="63"/>
      <c r="M258" s="65"/>
      <c r="N258" s="63"/>
    </row>
    <row r="259" spans="1:14" ht="15.95" customHeight="1">
      <c r="A259" s="63"/>
      <c r="B259" s="63"/>
      <c r="I259" s="63"/>
      <c r="J259" s="65"/>
      <c r="K259" s="65"/>
      <c r="L259" s="63"/>
      <c r="M259" s="65"/>
      <c r="N259" s="63"/>
    </row>
    <row r="260" spans="1:14" ht="15.95" customHeight="1">
      <c r="A260" s="63"/>
      <c r="B260" s="63"/>
      <c r="I260" s="63"/>
      <c r="J260" s="65"/>
      <c r="K260" s="65"/>
      <c r="L260" s="63"/>
      <c r="M260" s="65"/>
      <c r="N260" s="63"/>
    </row>
    <row r="261" spans="1:14" ht="15.95" customHeight="1">
      <c r="A261" s="63"/>
      <c r="B261" s="63"/>
      <c r="I261" s="63"/>
      <c r="J261" s="65"/>
      <c r="K261" s="65"/>
      <c r="L261" s="63"/>
      <c r="M261" s="65"/>
      <c r="N261" s="63"/>
    </row>
    <row r="262" spans="1:14" ht="15.95" customHeight="1">
      <c r="A262" s="63"/>
      <c r="B262" s="63"/>
      <c r="I262" s="63"/>
      <c r="J262" s="65"/>
      <c r="K262" s="65"/>
      <c r="L262" s="63"/>
      <c r="M262" s="65"/>
      <c r="N262" s="63"/>
    </row>
    <row r="263" spans="1:14" ht="15.95" customHeight="1">
      <c r="A263" s="63"/>
      <c r="B263" s="63"/>
      <c r="I263" s="63"/>
      <c r="J263" s="65"/>
      <c r="K263" s="65"/>
      <c r="L263" s="63"/>
      <c r="M263" s="65"/>
      <c r="N263" s="63"/>
    </row>
    <row r="264" spans="1:14" ht="15.95" customHeight="1">
      <c r="A264" s="63"/>
      <c r="B264" s="63"/>
      <c r="I264" s="63"/>
      <c r="J264" s="65"/>
      <c r="K264" s="65"/>
      <c r="L264" s="63"/>
      <c r="M264" s="65"/>
      <c r="N264" s="63"/>
    </row>
    <row r="265" spans="1:14" ht="15.95" customHeight="1">
      <c r="A265" s="63"/>
      <c r="B265" s="63"/>
      <c r="I265" s="63"/>
      <c r="J265" s="65"/>
      <c r="K265" s="65"/>
      <c r="L265" s="63"/>
      <c r="M265" s="65"/>
      <c r="N265" s="63"/>
    </row>
    <row r="266" spans="1:14" ht="15.95" customHeight="1">
      <c r="A266" s="63"/>
      <c r="B266" s="63"/>
      <c r="I266" s="63"/>
      <c r="J266" s="65"/>
      <c r="K266" s="65"/>
      <c r="L266" s="63"/>
      <c r="M266" s="65"/>
      <c r="N266" s="63"/>
    </row>
    <row r="267" spans="1:14" ht="15.95" customHeight="1">
      <c r="A267" s="63"/>
      <c r="B267" s="63"/>
      <c r="I267" s="63"/>
      <c r="J267" s="65"/>
      <c r="K267" s="65"/>
      <c r="L267" s="63"/>
      <c r="M267" s="65"/>
      <c r="N267" s="63"/>
    </row>
    <row r="268" spans="1:14" ht="15.95" customHeight="1">
      <c r="A268" s="63"/>
      <c r="B268" s="63"/>
      <c r="I268" s="63"/>
      <c r="J268" s="65"/>
      <c r="K268" s="65"/>
      <c r="L268" s="63"/>
      <c r="M268" s="65"/>
      <c r="N268" s="63"/>
    </row>
    <row r="269" spans="1:14" ht="15.95" customHeight="1">
      <c r="A269" s="63"/>
      <c r="B269" s="63"/>
      <c r="I269" s="63"/>
      <c r="J269" s="65"/>
      <c r="K269" s="65"/>
      <c r="L269" s="63"/>
      <c r="M269" s="65"/>
      <c r="N269" s="63"/>
    </row>
    <row r="270" spans="1:14" ht="15.95" customHeight="1">
      <c r="A270" s="63"/>
      <c r="B270" s="63"/>
      <c r="I270" s="63"/>
      <c r="J270" s="65"/>
      <c r="K270" s="65"/>
      <c r="L270" s="63"/>
      <c r="M270" s="65"/>
      <c r="N270" s="63"/>
    </row>
    <row r="271" spans="1:14" ht="15.95" customHeight="1">
      <c r="A271" s="63"/>
      <c r="B271" s="63"/>
      <c r="I271" s="63"/>
      <c r="J271" s="65"/>
      <c r="K271" s="65"/>
      <c r="L271" s="63"/>
      <c r="M271" s="65"/>
      <c r="N271" s="63"/>
    </row>
    <row r="272" spans="1:14" ht="15.95" customHeight="1">
      <c r="A272" s="63"/>
      <c r="B272" s="63"/>
      <c r="I272" s="63"/>
      <c r="J272" s="65"/>
      <c r="K272" s="65"/>
      <c r="L272" s="63"/>
      <c r="M272" s="65"/>
      <c r="N272" s="63"/>
    </row>
    <row r="273" spans="1:14" ht="15.95" customHeight="1">
      <c r="A273" s="63"/>
      <c r="B273" s="63"/>
      <c r="I273" s="63"/>
      <c r="J273" s="65"/>
      <c r="K273" s="65"/>
      <c r="L273" s="63"/>
      <c r="M273" s="65"/>
      <c r="N273" s="63"/>
    </row>
    <row r="274" spans="1:14" ht="15.95" customHeight="1">
      <c r="A274" s="63"/>
      <c r="B274" s="63"/>
      <c r="I274" s="63"/>
      <c r="J274" s="65"/>
      <c r="K274" s="65"/>
      <c r="L274" s="63"/>
      <c r="M274" s="65"/>
      <c r="N274" s="63"/>
    </row>
    <row r="275" spans="1:14" ht="15.95" customHeight="1">
      <c r="A275" s="63"/>
      <c r="B275" s="63"/>
      <c r="I275" s="63"/>
      <c r="J275" s="65"/>
      <c r="K275" s="65"/>
      <c r="L275" s="63"/>
      <c r="M275" s="65"/>
      <c r="N275" s="63"/>
    </row>
    <row r="276" spans="1:14" ht="15.95" customHeight="1">
      <c r="A276" s="63"/>
      <c r="B276" s="63"/>
      <c r="I276" s="63"/>
      <c r="J276" s="65"/>
      <c r="K276" s="65"/>
      <c r="L276" s="63"/>
      <c r="M276" s="65"/>
      <c r="N276" s="63"/>
    </row>
    <row r="277" spans="1:14" ht="15.95" customHeight="1">
      <c r="A277" s="63"/>
      <c r="B277" s="63"/>
      <c r="I277" s="63"/>
      <c r="J277" s="65"/>
      <c r="K277" s="65"/>
      <c r="L277" s="63"/>
      <c r="M277" s="65"/>
      <c r="N277" s="63"/>
    </row>
    <row r="278" spans="1:14" ht="15.95" customHeight="1">
      <c r="A278" s="63"/>
      <c r="B278" s="63"/>
      <c r="I278" s="63"/>
      <c r="J278" s="65"/>
      <c r="K278" s="65"/>
      <c r="L278" s="63"/>
      <c r="M278" s="65"/>
      <c r="N278" s="63"/>
    </row>
    <row r="279" spans="1:14" ht="15.95" customHeight="1">
      <c r="A279" s="63"/>
      <c r="B279" s="63"/>
      <c r="I279" s="63"/>
      <c r="J279" s="65"/>
      <c r="K279" s="65"/>
      <c r="L279" s="63"/>
      <c r="M279" s="65"/>
      <c r="N279" s="63"/>
    </row>
    <row r="280" spans="1:14" ht="15.95" customHeight="1">
      <c r="A280" s="63"/>
      <c r="B280" s="63"/>
      <c r="I280" s="63"/>
      <c r="J280" s="65"/>
      <c r="K280" s="65"/>
      <c r="L280" s="63"/>
      <c r="M280" s="65"/>
      <c r="N280" s="63"/>
    </row>
    <row r="281" spans="1:14" ht="15.95" customHeight="1">
      <c r="A281" s="63"/>
      <c r="B281" s="63"/>
      <c r="I281" s="63"/>
      <c r="J281" s="65"/>
      <c r="K281" s="65"/>
      <c r="L281" s="63"/>
      <c r="M281" s="65"/>
      <c r="N281" s="63"/>
    </row>
    <row r="282" spans="1:14" ht="15.95" customHeight="1">
      <c r="A282" s="63"/>
      <c r="B282" s="63"/>
      <c r="I282" s="63"/>
      <c r="J282" s="65"/>
      <c r="K282" s="65"/>
      <c r="L282" s="63"/>
      <c r="M282" s="65"/>
      <c r="N282" s="63"/>
    </row>
    <row r="283" spans="1:14" ht="15.95" customHeight="1">
      <c r="A283" s="63"/>
      <c r="B283" s="63"/>
      <c r="I283" s="63"/>
      <c r="J283" s="65"/>
      <c r="K283" s="65"/>
      <c r="L283" s="63"/>
      <c r="M283" s="65"/>
      <c r="N283" s="63"/>
    </row>
    <row r="284" spans="1:14" ht="15.95" customHeight="1">
      <c r="A284" s="63"/>
      <c r="B284" s="63"/>
      <c r="I284" s="63"/>
      <c r="J284" s="65"/>
      <c r="K284" s="65"/>
      <c r="L284" s="63"/>
      <c r="M284" s="65"/>
      <c r="N284" s="63"/>
    </row>
    <row r="285" spans="1:14" ht="15.95" customHeight="1">
      <c r="A285" s="63"/>
      <c r="B285" s="63"/>
      <c r="I285" s="63"/>
      <c r="J285" s="65"/>
      <c r="K285" s="65"/>
      <c r="L285" s="63"/>
      <c r="M285" s="65"/>
      <c r="N285" s="63"/>
    </row>
    <row r="286" spans="1:14" ht="15.95" customHeight="1">
      <c r="A286" s="63"/>
      <c r="B286" s="63"/>
      <c r="I286" s="63"/>
      <c r="J286" s="65"/>
      <c r="K286" s="65"/>
      <c r="L286" s="63"/>
      <c r="M286" s="65"/>
      <c r="N286" s="63"/>
    </row>
    <row r="287" spans="1:14" ht="15.95" customHeight="1">
      <c r="A287" s="63"/>
      <c r="B287" s="63"/>
      <c r="I287" s="63"/>
      <c r="J287" s="65"/>
      <c r="K287" s="65"/>
      <c r="L287" s="63"/>
      <c r="M287" s="65"/>
      <c r="N287" s="63"/>
    </row>
    <row r="288" spans="1:14" ht="15.95" customHeight="1">
      <c r="A288" s="63"/>
      <c r="B288" s="63"/>
      <c r="I288" s="63"/>
      <c r="J288" s="65"/>
      <c r="K288" s="65"/>
      <c r="L288" s="63"/>
      <c r="M288" s="65"/>
      <c r="N288" s="63"/>
    </row>
    <row r="289" spans="1:14" ht="15.95" customHeight="1">
      <c r="A289" s="63"/>
      <c r="B289" s="63"/>
      <c r="I289" s="63"/>
      <c r="J289" s="65"/>
      <c r="K289" s="65"/>
      <c r="L289" s="63"/>
      <c r="M289" s="65"/>
      <c r="N289" s="63"/>
    </row>
    <row r="290" spans="1:14" ht="15.95" customHeight="1">
      <c r="A290" s="63"/>
      <c r="B290" s="63"/>
      <c r="I290" s="63"/>
      <c r="J290" s="65"/>
      <c r="K290" s="65"/>
      <c r="L290" s="63"/>
      <c r="M290" s="65"/>
      <c r="N290" s="63"/>
    </row>
    <row r="291" spans="1:14" ht="15.95" customHeight="1">
      <c r="A291" s="63"/>
      <c r="B291" s="63"/>
      <c r="I291" s="63"/>
      <c r="J291" s="65"/>
      <c r="K291" s="65"/>
      <c r="L291" s="63"/>
      <c r="M291" s="65"/>
      <c r="N291" s="63"/>
    </row>
    <row r="292" spans="1:14" ht="15.95" customHeight="1">
      <c r="A292" s="63"/>
      <c r="B292" s="63"/>
      <c r="I292" s="63"/>
      <c r="J292" s="65"/>
      <c r="K292" s="65"/>
      <c r="L292" s="63"/>
      <c r="M292" s="65"/>
      <c r="N292" s="63"/>
    </row>
    <row r="293" spans="1:14" ht="15.95" customHeight="1">
      <c r="A293" s="63"/>
      <c r="B293" s="63"/>
      <c r="I293" s="63"/>
      <c r="J293" s="65"/>
      <c r="K293" s="65"/>
      <c r="L293" s="63"/>
      <c r="M293" s="65"/>
      <c r="N293" s="63"/>
    </row>
    <row r="294" spans="1:14" ht="15.95" customHeight="1">
      <c r="A294" s="63"/>
      <c r="B294" s="63"/>
      <c r="I294" s="63"/>
      <c r="J294" s="65"/>
      <c r="K294" s="65"/>
      <c r="L294" s="63"/>
      <c r="M294" s="65"/>
      <c r="N294" s="63"/>
    </row>
    <row r="295" spans="1:14" ht="15.95" customHeight="1">
      <c r="A295" s="63"/>
      <c r="B295" s="63"/>
      <c r="I295" s="63"/>
      <c r="J295" s="65"/>
      <c r="K295" s="65"/>
      <c r="L295" s="63"/>
      <c r="M295" s="65"/>
      <c r="N295" s="63"/>
    </row>
    <row r="296" spans="1:14" ht="15.95" customHeight="1">
      <c r="A296" s="63"/>
      <c r="B296" s="63"/>
      <c r="I296" s="63"/>
      <c r="J296" s="65"/>
      <c r="K296" s="65"/>
      <c r="L296" s="63"/>
      <c r="M296" s="65"/>
      <c r="N296" s="63"/>
    </row>
    <row r="297" spans="1:14" ht="15.95" customHeight="1">
      <c r="A297" s="63"/>
      <c r="B297" s="63"/>
      <c r="I297" s="63"/>
      <c r="J297" s="65"/>
      <c r="K297" s="65"/>
      <c r="L297" s="63"/>
      <c r="M297" s="65"/>
      <c r="N297" s="63"/>
    </row>
    <row r="298" spans="1:14" ht="15.95" customHeight="1">
      <c r="A298" s="63"/>
      <c r="B298" s="63"/>
      <c r="I298" s="63"/>
      <c r="J298" s="65"/>
      <c r="K298" s="65"/>
      <c r="L298" s="63"/>
      <c r="M298" s="65"/>
      <c r="N298" s="63"/>
    </row>
    <row r="299" spans="1:14" ht="15.95" customHeight="1">
      <c r="A299" s="63"/>
      <c r="B299" s="63"/>
      <c r="I299" s="63"/>
      <c r="J299" s="65"/>
      <c r="K299" s="65"/>
      <c r="L299" s="63"/>
      <c r="M299" s="65"/>
      <c r="N299" s="63"/>
    </row>
    <row r="300" spans="1:14" ht="15.95" customHeight="1">
      <c r="A300" s="63"/>
      <c r="B300" s="63"/>
      <c r="I300" s="63"/>
      <c r="J300" s="65"/>
      <c r="K300" s="65"/>
      <c r="L300" s="63"/>
      <c r="M300" s="65"/>
      <c r="N300" s="63"/>
    </row>
    <row r="301" spans="1:14" ht="15.95" customHeight="1">
      <c r="A301" s="63"/>
      <c r="B301" s="63"/>
      <c r="I301" s="63"/>
      <c r="J301" s="65"/>
      <c r="K301" s="65"/>
      <c r="L301" s="63"/>
      <c r="M301" s="65"/>
      <c r="N301" s="63"/>
    </row>
    <row r="302" spans="1:14" ht="15.95" customHeight="1">
      <c r="A302" s="63"/>
      <c r="B302" s="63"/>
      <c r="I302" s="63"/>
      <c r="J302" s="65"/>
      <c r="K302" s="65"/>
      <c r="L302" s="63"/>
      <c r="M302" s="65"/>
      <c r="N302" s="63"/>
    </row>
    <row r="303" spans="1:14" ht="15.95" customHeight="1">
      <c r="A303" s="63"/>
      <c r="B303" s="63"/>
      <c r="I303" s="63"/>
      <c r="J303" s="65"/>
      <c r="K303" s="65"/>
      <c r="L303" s="63"/>
      <c r="M303" s="65"/>
      <c r="N303" s="63"/>
    </row>
    <row r="304" spans="1:14" ht="15.95" customHeight="1">
      <c r="A304" s="63"/>
      <c r="B304" s="63"/>
      <c r="I304" s="63"/>
      <c r="J304" s="65"/>
      <c r="K304" s="65"/>
      <c r="L304" s="63"/>
      <c r="M304" s="65"/>
      <c r="N304" s="63"/>
    </row>
    <row r="305" spans="1:14" ht="15.95" customHeight="1">
      <c r="A305" s="63"/>
      <c r="B305" s="63"/>
      <c r="I305" s="63"/>
      <c r="J305" s="65"/>
      <c r="K305" s="65"/>
      <c r="L305" s="63"/>
      <c r="M305" s="65"/>
      <c r="N305" s="63"/>
    </row>
    <row r="306" spans="1:14" ht="15.95" customHeight="1">
      <c r="A306" s="63"/>
      <c r="B306" s="63"/>
      <c r="I306" s="63"/>
      <c r="J306" s="65"/>
      <c r="K306" s="65"/>
      <c r="L306" s="63"/>
      <c r="M306" s="65"/>
      <c r="N306" s="63"/>
    </row>
    <row r="307" spans="1:14" ht="15.95" customHeight="1">
      <c r="A307" s="63"/>
      <c r="B307" s="63"/>
      <c r="I307" s="63"/>
      <c r="J307" s="65"/>
      <c r="K307" s="65"/>
      <c r="L307" s="63"/>
      <c r="M307" s="65"/>
      <c r="N307" s="63"/>
    </row>
    <row r="308" spans="1:14" ht="15.95" customHeight="1">
      <c r="A308" s="63"/>
      <c r="B308" s="63"/>
      <c r="I308" s="63"/>
      <c r="J308" s="65"/>
      <c r="K308" s="65"/>
      <c r="L308" s="63"/>
      <c r="M308" s="65"/>
      <c r="N308" s="63"/>
    </row>
    <row r="309" spans="1:14" ht="15.95" customHeight="1">
      <c r="A309" s="63"/>
      <c r="B309" s="63"/>
      <c r="I309" s="63"/>
      <c r="J309" s="65"/>
      <c r="K309" s="65"/>
      <c r="L309" s="63"/>
      <c r="M309" s="65"/>
      <c r="N309" s="63"/>
    </row>
    <row r="310" spans="1:14" ht="15.95" customHeight="1">
      <c r="A310" s="63"/>
      <c r="B310" s="63"/>
      <c r="I310" s="63"/>
      <c r="J310" s="65"/>
      <c r="K310" s="65"/>
      <c r="L310" s="63"/>
      <c r="M310" s="65"/>
      <c r="N310" s="63"/>
    </row>
    <row r="311" spans="1:14" ht="15.95" customHeight="1">
      <c r="A311" s="63"/>
      <c r="B311" s="63"/>
      <c r="I311" s="63"/>
      <c r="J311" s="65"/>
      <c r="K311" s="65"/>
      <c r="L311" s="63"/>
      <c r="M311" s="65"/>
      <c r="N311" s="63"/>
    </row>
    <row r="312" spans="1:14" ht="15.95" customHeight="1">
      <c r="A312" s="63"/>
      <c r="B312" s="63"/>
      <c r="I312" s="63"/>
      <c r="J312" s="65"/>
      <c r="K312" s="65"/>
      <c r="L312" s="63"/>
      <c r="M312" s="65"/>
      <c r="N312" s="63"/>
    </row>
    <row r="313" spans="1:14" ht="15.95" customHeight="1">
      <c r="A313" s="63"/>
      <c r="B313" s="63"/>
      <c r="I313" s="63"/>
      <c r="J313" s="65"/>
      <c r="K313" s="65"/>
      <c r="L313" s="63"/>
      <c r="M313" s="65"/>
      <c r="N313" s="63"/>
    </row>
    <row r="314" spans="1:14" ht="15.95" customHeight="1">
      <c r="A314" s="63"/>
      <c r="B314" s="63"/>
      <c r="I314" s="63"/>
      <c r="J314" s="65"/>
      <c r="K314" s="65"/>
      <c r="L314" s="63"/>
      <c r="M314" s="65"/>
      <c r="N314" s="63"/>
    </row>
    <row r="315" spans="1:14" ht="15.95" customHeight="1">
      <c r="A315" s="63"/>
      <c r="B315" s="63"/>
      <c r="I315" s="63"/>
      <c r="J315" s="65"/>
      <c r="K315" s="65"/>
      <c r="L315" s="63"/>
      <c r="M315" s="65"/>
      <c r="N315" s="63"/>
    </row>
    <row r="316" spans="1:14" ht="15.95" customHeight="1">
      <c r="A316" s="63"/>
      <c r="B316" s="63"/>
      <c r="I316" s="63"/>
      <c r="J316" s="65"/>
      <c r="K316" s="65"/>
      <c r="L316" s="63"/>
      <c r="M316" s="65"/>
      <c r="N316" s="63"/>
    </row>
    <row r="317" spans="1:14" ht="15.95" customHeight="1">
      <c r="A317" s="63"/>
      <c r="B317" s="63"/>
      <c r="I317" s="63"/>
      <c r="J317" s="65"/>
      <c r="K317" s="65"/>
      <c r="L317" s="63"/>
      <c r="M317" s="65"/>
      <c r="N317" s="63"/>
    </row>
    <row r="318" spans="1:14" ht="15.95" customHeight="1">
      <c r="A318" s="63"/>
      <c r="B318" s="63"/>
      <c r="I318" s="63"/>
      <c r="J318" s="65"/>
      <c r="K318" s="65"/>
      <c r="L318" s="63"/>
      <c r="M318" s="65"/>
      <c r="N318" s="63"/>
    </row>
    <row r="319" spans="1:14" ht="15.95" customHeight="1">
      <c r="A319" s="63"/>
      <c r="B319" s="63"/>
      <c r="I319" s="63"/>
      <c r="J319" s="65"/>
      <c r="K319" s="65"/>
      <c r="L319" s="63"/>
      <c r="M319" s="65"/>
      <c r="N319" s="63"/>
    </row>
    <row r="320" spans="1:14" ht="15.95" customHeight="1">
      <c r="A320" s="63"/>
      <c r="B320" s="63"/>
      <c r="I320" s="63"/>
      <c r="J320" s="65"/>
      <c r="K320" s="65"/>
      <c r="L320" s="63"/>
      <c r="M320" s="65"/>
      <c r="N320" s="63"/>
    </row>
    <row r="321" spans="1:14" ht="15.95" customHeight="1">
      <c r="A321" s="63"/>
      <c r="B321" s="63"/>
      <c r="I321" s="63"/>
      <c r="J321" s="65"/>
      <c r="K321" s="65"/>
      <c r="L321" s="63"/>
      <c r="M321" s="65"/>
      <c r="N321" s="63"/>
    </row>
    <row r="322" spans="1:14" ht="15.95" customHeight="1">
      <c r="A322" s="63"/>
      <c r="B322" s="63"/>
      <c r="I322" s="63"/>
      <c r="J322" s="65"/>
      <c r="K322" s="65"/>
      <c r="L322" s="63"/>
      <c r="M322" s="65"/>
      <c r="N322" s="63"/>
    </row>
    <row r="323" spans="1:14" ht="15.95" customHeight="1">
      <c r="A323" s="63"/>
      <c r="B323" s="63"/>
      <c r="I323" s="63"/>
      <c r="J323" s="65"/>
      <c r="K323" s="65"/>
      <c r="L323" s="63"/>
      <c r="M323" s="65"/>
      <c r="N323" s="63"/>
    </row>
    <row r="324" spans="1:14" ht="15.95" customHeight="1">
      <c r="A324" s="63"/>
      <c r="B324" s="63"/>
      <c r="I324" s="63"/>
      <c r="J324" s="65"/>
      <c r="K324" s="65"/>
      <c r="L324" s="63"/>
      <c r="M324" s="65"/>
      <c r="N324" s="63"/>
    </row>
    <row r="325" spans="1:14" ht="15.95" customHeight="1">
      <c r="A325" s="63"/>
      <c r="B325" s="63"/>
      <c r="I325" s="63"/>
      <c r="J325" s="65"/>
      <c r="K325" s="65"/>
      <c r="L325" s="63"/>
      <c r="M325" s="65"/>
      <c r="N325" s="63"/>
    </row>
    <row r="326" spans="1:14" ht="15.95" customHeight="1">
      <c r="A326" s="63"/>
      <c r="B326" s="63"/>
      <c r="I326" s="63"/>
      <c r="J326" s="65"/>
      <c r="K326" s="65"/>
      <c r="L326" s="63"/>
      <c r="M326" s="65"/>
      <c r="N326" s="63"/>
    </row>
    <row r="327" spans="1:14" ht="15.95" customHeight="1">
      <c r="A327" s="63"/>
      <c r="B327" s="63"/>
      <c r="I327" s="63"/>
      <c r="J327" s="65"/>
      <c r="K327" s="65"/>
      <c r="L327" s="63"/>
      <c r="M327" s="65"/>
      <c r="N327" s="63"/>
    </row>
    <row r="328" spans="1:14" ht="15.95" customHeight="1">
      <c r="A328" s="63"/>
      <c r="B328" s="63"/>
      <c r="I328" s="63"/>
      <c r="J328" s="65"/>
      <c r="K328" s="65"/>
      <c r="L328" s="63"/>
      <c r="M328" s="65"/>
      <c r="N328" s="63"/>
    </row>
    <row r="329" spans="1:14" ht="15.95" customHeight="1">
      <c r="A329" s="63"/>
      <c r="B329" s="63"/>
      <c r="I329" s="63"/>
      <c r="J329" s="65"/>
      <c r="K329" s="65"/>
      <c r="L329" s="63"/>
      <c r="M329" s="65"/>
      <c r="N329" s="63"/>
    </row>
    <row r="330" spans="1:14" ht="15.95" customHeight="1">
      <c r="A330" s="63"/>
      <c r="B330" s="63"/>
      <c r="I330" s="63"/>
      <c r="J330" s="65"/>
      <c r="K330" s="65"/>
      <c r="L330" s="63"/>
      <c r="M330" s="65"/>
      <c r="N330" s="63"/>
    </row>
    <row r="331" spans="1:14" ht="15.95" customHeight="1">
      <c r="A331" s="63"/>
      <c r="B331" s="63"/>
      <c r="I331" s="63"/>
      <c r="J331" s="65"/>
      <c r="K331" s="65"/>
      <c r="L331" s="63"/>
      <c r="M331" s="65"/>
      <c r="N331" s="63"/>
    </row>
    <row r="332" spans="1:14" ht="15.95" customHeight="1">
      <c r="A332" s="63"/>
      <c r="B332" s="63"/>
      <c r="I332" s="63"/>
      <c r="J332" s="65"/>
      <c r="K332" s="65"/>
      <c r="L332" s="63"/>
      <c r="M332" s="65"/>
      <c r="N332" s="63"/>
    </row>
    <row r="333" spans="1:14" ht="15.95" customHeight="1">
      <c r="A333" s="63"/>
      <c r="B333" s="63"/>
      <c r="I333" s="63"/>
      <c r="J333" s="65"/>
      <c r="K333" s="65"/>
      <c r="L333" s="63"/>
      <c r="M333" s="65"/>
      <c r="N333" s="63"/>
    </row>
    <row r="334" spans="1:14" ht="15.95" customHeight="1">
      <c r="A334" s="63"/>
      <c r="B334" s="63"/>
      <c r="I334" s="63"/>
      <c r="J334" s="65"/>
      <c r="K334" s="65"/>
      <c r="L334" s="63"/>
      <c r="M334" s="65"/>
      <c r="N334" s="63"/>
    </row>
    <row r="335" spans="1:14" ht="15.95" customHeight="1">
      <c r="A335" s="63"/>
      <c r="B335" s="63"/>
      <c r="I335" s="63"/>
      <c r="J335" s="65"/>
      <c r="K335" s="65"/>
      <c r="L335" s="63"/>
      <c r="M335" s="65"/>
      <c r="N335" s="63"/>
    </row>
    <row r="336" spans="1:14" ht="15.95" customHeight="1">
      <c r="A336" s="63"/>
      <c r="B336" s="63"/>
      <c r="I336" s="63"/>
      <c r="J336" s="65"/>
      <c r="K336" s="65"/>
      <c r="L336" s="63"/>
      <c r="M336" s="65"/>
      <c r="N336" s="63"/>
    </row>
    <row r="337" spans="1:14" ht="15.95" customHeight="1">
      <c r="A337" s="63"/>
      <c r="B337" s="63"/>
      <c r="I337" s="63"/>
      <c r="J337" s="65"/>
      <c r="K337" s="65"/>
      <c r="L337" s="63"/>
      <c r="M337" s="65"/>
      <c r="N337" s="63"/>
    </row>
    <row r="338" spans="1:14" ht="15.95" customHeight="1">
      <c r="A338" s="63"/>
      <c r="B338" s="63"/>
      <c r="I338" s="63"/>
      <c r="J338" s="65"/>
      <c r="K338" s="65"/>
      <c r="L338" s="63"/>
      <c r="M338" s="65"/>
      <c r="N338" s="63"/>
    </row>
    <row r="339" spans="1:14" ht="15.95" customHeight="1">
      <c r="A339" s="63"/>
      <c r="B339" s="63"/>
      <c r="I339" s="63"/>
      <c r="J339" s="65"/>
      <c r="K339" s="65"/>
      <c r="L339" s="63"/>
      <c r="M339" s="65"/>
      <c r="N339" s="63"/>
    </row>
    <row r="340" spans="1:14" ht="15.95" customHeight="1">
      <c r="A340" s="63"/>
      <c r="B340" s="63"/>
      <c r="I340" s="63"/>
      <c r="J340" s="65"/>
      <c r="K340" s="65"/>
      <c r="L340" s="63"/>
      <c r="M340" s="65"/>
      <c r="N340" s="63"/>
    </row>
    <row r="341" spans="1:14" ht="15.95" customHeight="1">
      <c r="A341" s="63"/>
      <c r="B341" s="63"/>
      <c r="I341" s="63"/>
      <c r="J341" s="65"/>
      <c r="K341" s="65"/>
      <c r="L341" s="63"/>
      <c r="M341" s="65"/>
      <c r="N341" s="63"/>
    </row>
    <row r="342" spans="1:14" ht="15.95" customHeight="1">
      <c r="A342" s="63"/>
      <c r="B342" s="63"/>
      <c r="I342" s="63"/>
      <c r="J342" s="65"/>
      <c r="K342" s="65"/>
      <c r="L342" s="63"/>
      <c r="M342" s="65"/>
      <c r="N342" s="63"/>
    </row>
    <row r="343" spans="1:14" ht="15.95" customHeight="1">
      <c r="A343" s="63"/>
      <c r="B343" s="63"/>
      <c r="I343" s="63"/>
      <c r="J343" s="65"/>
      <c r="K343" s="65"/>
      <c r="L343" s="63"/>
      <c r="M343" s="65"/>
      <c r="N343" s="63"/>
    </row>
    <row r="344" spans="1:14" ht="15.95" customHeight="1">
      <c r="A344" s="63"/>
      <c r="B344" s="63"/>
      <c r="I344" s="63"/>
      <c r="J344" s="65"/>
      <c r="K344" s="65"/>
      <c r="L344" s="63"/>
      <c r="M344" s="65"/>
      <c r="N344" s="63"/>
    </row>
    <row r="345" spans="1:14" ht="15.95" customHeight="1">
      <c r="A345" s="63"/>
      <c r="B345" s="63"/>
      <c r="I345" s="63"/>
      <c r="J345" s="65"/>
      <c r="K345" s="65"/>
      <c r="L345" s="63"/>
      <c r="M345" s="65"/>
      <c r="N345" s="63"/>
    </row>
    <row r="346" spans="1:14" ht="15.95" customHeight="1">
      <c r="A346" s="63"/>
      <c r="B346" s="63"/>
      <c r="I346" s="63"/>
      <c r="J346" s="65"/>
      <c r="K346" s="65"/>
      <c r="L346" s="63"/>
      <c r="M346" s="65"/>
      <c r="N346" s="63"/>
    </row>
    <row r="347" spans="1:14" ht="15.95" customHeight="1">
      <c r="A347" s="63"/>
      <c r="B347" s="63"/>
      <c r="I347" s="63"/>
      <c r="J347" s="65"/>
      <c r="K347" s="65"/>
      <c r="L347" s="63"/>
      <c r="M347" s="65"/>
      <c r="N347" s="63"/>
    </row>
    <row r="348" spans="1:14" ht="15.95" customHeight="1">
      <c r="A348" s="63"/>
      <c r="B348" s="63"/>
      <c r="I348" s="63"/>
      <c r="J348" s="65"/>
      <c r="K348" s="65"/>
      <c r="L348" s="63"/>
      <c r="M348" s="65"/>
      <c r="N348" s="63"/>
    </row>
    <row r="349" spans="1:14" ht="15.95" customHeight="1">
      <c r="A349" s="63"/>
      <c r="B349" s="63"/>
      <c r="I349" s="63"/>
      <c r="J349" s="65"/>
      <c r="K349" s="65"/>
      <c r="L349" s="63"/>
      <c r="M349" s="65"/>
      <c r="N349" s="63"/>
    </row>
    <row r="350" spans="1:14" ht="15.95" customHeight="1">
      <c r="A350" s="63"/>
      <c r="B350" s="63"/>
      <c r="I350" s="63"/>
      <c r="J350" s="65"/>
      <c r="K350" s="65"/>
      <c r="L350" s="63"/>
      <c r="M350" s="65"/>
      <c r="N350" s="63"/>
    </row>
    <row r="351" spans="1:14" ht="15.95" customHeight="1">
      <c r="A351" s="63"/>
      <c r="B351" s="63"/>
      <c r="I351" s="63"/>
      <c r="J351" s="65"/>
      <c r="K351" s="65"/>
      <c r="L351" s="63"/>
      <c r="M351" s="65"/>
      <c r="N351" s="63"/>
    </row>
    <row r="352" spans="1:14" ht="15.95" customHeight="1">
      <c r="A352" s="63"/>
      <c r="B352" s="63"/>
      <c r="I352" s="63"/>
      <c r="J352" s="65"/>
      <c r="K352" s="65"/>
      <c r="L352" s="63"/>
      <c r="M352" s="65"/>
      <c r="N352" s="63"/>
    </row>
    <row r="353" spans="1:14" ht="15.95" customHeight="1">
      <c r="A353" s="63"/>
      <c r="B353" s="63"/>
      <c r="I353" s="63"/>
      <c r="J353" s="65"/>
      <c r="K353" s="65"/>
      <c r="L353" s="63"/>
      <c r="M353" s="65"/>
      <c r="N353" s="63"/>
    </row>
    <row r="354" spans="1:14" ht="15.95" customHeight="1">
      <c r="A354" s="63"/>
      <c r="B354" s="63"/>
      <c r="I354" s="63"/>
      <c r="J354" s="65"/>
      <c r="K354" s="65"/>
      <c r="L354" s="63"/>
      <c r="M354" s="65"/>
      <c r="N354" s="63"/>
    </row>
    <row r="355" spans="1:14" ht="15.95" customHeight="1">
      <c r="A355" s="63"/>
      <c r="B355" s="63"/>
      <c r="I355" s="63"/>
      <c r="J355" s="65"/>
      <c r="K355" s="65"/>
      <c r="L355" s="63"/>
      <c r="M355" s="65"/>
      <c r="N355" s="63"/>
    </row>
    <row r="356" spans="1:14" ht="15.95" customHeight="1">
      <c r="A356" s="63"/>
      <c r="B356" s="63"/>
      <c r="I356" s="63"/>
      <c r="J356" s="65"/>
      <c r="K356" s="65"/>
      <c r="L356" s="63"/>
      <c r="M356" s="65"/>
      <c r="N356" s="63"/>
    </row>
    <row r="357" spans="1:14" ht="15.95" customHeight="1">
      <c r="A357" s="63"/>
      <c r="B357" s="63"/>
      <c r="I357" s="63"/>
      <c r="J357" s="65"/>
      <c r="K357" s="65"/>
      <c r="L357" s="63"/>
      <c r="M357" s="65"/>
      <c r="N357" s="63"/>
    </row>
    <row r="358" spans="1:14" ht="15.95" customHeight="1">
      <c r="A358" s="63"/>
      <c r="B358" s="63"/>
      <c r="I358" s="63"/>
      <c r="J358" s="65"/>
      <c r="K358" s="65"/>
      <c r="L358" s="63"/>
      <c r="M358" s="65"/>
      <c r="N358" s="63"/>
    </row>
    <row r="359" spans="1:14" ht="15.95" customHeight="1">
      <c r="A359" s="63"/>
      <c r="B359" s="63"/>
      <c r="I359" s="63"/>
      <c r="J359" s="65"/>
      <c r="K359" s="65"/>
      <c r="L359" s="63"/>
      <c r="M359" s="65"/>
      <c r="N359" s="63"/>
    </row>
    <row r="360" spans="1:14" ht="15.95" customHeight="1">
      <c r="A360" s="63"/>
      <c r="B360" s="63"/>
      <c r="I360" s="63"/>
      <c r="J360" s="65"/>
      <c r="K360" s="65"/>
      <c r="L360" s="63"/>
      <c r="M360" s="65"/>
      <c r="N360" s="63"/>
    </row>
    <row r="361" spans="1:14" ht="15.95" customHeight="1">
      <c r="A361" s="63"/>
      <c r="B361" s="63"/>
      <c r="I361" s="63"/>
      <c r="J361" s="65"/>
      <c r="K361" s="65"/>
      <c r="L361" s="63"/>
      <c r="M361" s="65"/>
      <c r="N361" s="63"/>
    </row>
    <row r="362" spans="1:14" ht="15.95" customHeight="1">
      <c r="A362" s="63"/>
      <c r="B362" s="63"/>
      <c r="I362" s="63"/>
      <c r="J362" s="65"/>
      <c r="K362" s="65"/>
      <c r="L362" s="63"/>
      <c r="M362" s="65"/>
      <c r="N362" s="63"/>
    </row>
    <row r="363" spans="1:14" ht="15.95" customHeight="1">
      <c r="A363" s="63"/>
      <c r="B363" s="63"/>
      <c r="I363" s="63"/>
      <c r="J363" s="65"/>
      <c r="K363" s="65"/>
      <c r="L363" s="63"/>
      <c r="M363" s="65"/>
      <c r="N363" s="63"/>
    </row>
    <row r="364" spans="1:14" ht="15.95" customHeight="1">
      <c r="A364" s="63"/>
      <c r="B364" s="63"/>
      <c r="I364" s="63"/>
      <c r="J364" s="65"/>
      <c r="K364" s="65"/>
      <c r="L364" s="63"/>
      <c r="M364" s="65"/>
      <c r="N364" s="63"/>
    </row>
    <row r="365" spans="1:14" ht="15.95" customHeight="1">
      <c r="A365" s="63"/>
      <c r="B365" s="63"/>
      <c r="I365" s="63"/>
      <c r="J365" s="65"/>
      <c r="K365" s="65"/>
      <c r="L365" s="63"/>
      <c r="M365" s="65"/>
      <c r="N365" s="63"/>
    </row>
    <row r="366" spans="1:14" ht="15.95" customHeight="1">
      <c r="A366" s="63"/>
      <c r="B366" s="63"/>
      <c r="I366" s="63"/>
      <c r="J366" s="65"/>
      <c r="K366" s="65"/>
      <c r="L366" s="63"/>
      <c r="M366" s="65"/>
      <c r="N366" s="63"/>
    </row>
    <row r="367" spans="1:14" ht="15.95" customHeight="1">
      <c r="A367" s="63"/>
      <c r="B367" s="63"/>
      <c r="I367" s="63"/>
      <c r="J367" s="65"/>
      <c r="K367" s="65"/>
      <c r="L367" s="63"/>
      <c r="M367" s="65"/>
      <c r="N367" s="63"/>
    </row>
    <row r="368" spans="1:14" ht="15.95" customHeight="1">
      <c r="A368" s="63"/>
      <c r="B368" s="63"/>
      <c r="I368" s="63"/>
      <c r="J368" s="65"/>
      <c r="K368" s="65"/>
      <c r="L368" s="63"/>
      <c r="M368" s="65"/>
      <c r="N368" s="63"/>
    </row>
    <row r="369" spans="1:14" ht="15.95" customHeight="1">
      <c r="A369" s="63"/>
      <c r="B369" s="63"/>
      <c r="I369" s="63"/>
      <c r="J369" s="65"/>
      <c r="K369" s="65"/>
      <c r="L369" s="63"/>
      <c r="M369" s="65"/>
      <c r="N369" s="63"/>
    </row>
    <row r="370" spans="1:14" ht="15.95" customHeight="1">
      <c r="A370" s="63"/>
      <c r="B370" s="63"/>
      <c r="I370" s="63"/>
      <c r="J370" s="65"/>
      <c r="K370" s="65"/>
      <c r="L370" s="63"/>
      <c r="M370" s="65"/>
      <c r="N370" s="63"/>
    </row>
    <row r="371" spans="1:14" ht="15.95" customHeight="1">
      <c r="A371" s="63"/>
      <c r="B371" s="63"/>
      <c r="I371" s="63"/>
      <c r="J371" s="65"/>
      <c r="K371" s="65"/>
      <c r="L371" s="63"/>
      <c r="M371" s="65"/>
      <c r="N371" s="63"/>
    </row>
    <row r="372" spans="1:14" ht="15.95" customHeight="1">
      <c r="A372" s="63"/>
      <c r="B372" s="63"/>
      <c r="I372" s="63"/>
      <c r="J372" s="65"/>
      <c r="K372" s="65"/>
      <c r="L372" s="63"/>
      <c r="M372" s="65"/>
      <c r="N372" s="63"/>
    </row>
    <row r="373" spans="1:14" ht="15.95" customHeight="1">
      <c r="A373" s="63"/>
      <c r="B373" s="63"/>
      <c r="I373" s="63"/>
      <c r="J373" s="65"/>
      <c r="K373" s="65"/>
      <c r="L373" s="63"/>
      <c r="M373" s="65"/>
      <c r="N373" s="63"/>
    </row>
    <row r="374" spans="1:14" ht="15.95" customHeight="1">
      <c r="A374" s="63"/>
      <c r="B374" s="63"/>
      <c r="I374" s="63"/>
      <c r="J374" s="65"/>
      <c r="K374" s="65"/>
      <c r="L374" s="63"/>
      <c r="M374" s="65"/>
      <c r="N374" s="63"/>
    </row>
    <row r="375" spans="1:14" ht="15.95" customHeight="1">
      <c r="A375" s="63"/>
      <c r="B375" s="63"/>
      <c r="I375" s="63"/>
      <c r="J375" s="65"/>
      <c r="K375" s="65"/>
      <c r="L375" s="63"/>
      <c r="M375" s="65"/>
      <c r="N375" s="63"/>
    </row>
    <row r="376" spans="1:14" ht="15.95" customHeight="1">
      <c r="A376" s="63"/>
      <c r="B376" s="63"/>
      <c r="I376" s="63"/>
      <c r="J376" s="65"/>
      <c r="K376" s="65"/>
      <c r="L376" s="63"/>
      <c r="M376" s="65"/>
      <c r="N376" s="63"/>
    </row>
    <row r="377" spans="1:14" ht="15.95" customHeight="1">
      <c r="A377" s="63"/>
      <c r="B377" s="63"/>
      <c r="I377" s="63"/>
      <c r="J377" s="65"/>
      <c r="K377" s="65"/>
      <c r="L377" s="63"/>
      <c r="M377" s="65"/>
      <c r="N377" s="63"/>
    </row>
    <row r="378" spans="1:14" ht="15.95" customHeight="1">
      <c r="A378" s="63"/>
      <c r="B378" s="63"/>
      <c r="I378" s="63"/>
      <c r="J378" s="65"/>
      <c r="K378" s="65"/>
      <c r="L378" s="63"/>
      <c r="M378" s="65"/>
      <c r="N378" s="63"/>
    </row>
    <row r="379" spans="1:14" ht="15.95" customHeight="1">
      <c r="A379" s="63"/>
      <c r="B379" s="63"/>
      <c r="I379" s="63"/>
      <c r="J379" s="65"/>
      <c r="K379" s="65"/>
      <c r="L379" s="63"/>
      <c r="M379" s="65"/>
      <c r="N379" s="63"/>
    </row>
    <row r="380" spans="1:14" ht="15.95" customHeight="1">
      <c r="A380" s="63"/>
      <c r="B380" s="63"/>
      <c r="I380" s="63"/>
      <c r="J380" s="65"/>
      <c r="K380" s="65"/>
      <c r="L380" s="63"/>
      <c r="M380" s="65"/>
      <c r="N380" s="63"/>
    </row>
    <row r="381" spans="1:14" ht="15.95" customHeight="1">
      <c r="A381" s="63"/>
      <c r="B381" s="63"/>
      <c r="I381" s="63"/>
      <c r="J381" s="65"/>
      <c r="K381" s="65"/>
      <c r="L381" s="63"/>
      <c r="M381" s="65"/>
      <c r="N381" s="63"/>
    </row>
    <row r="382" spans="1:14" ht="15.95" customHeight="1">
      <c r="A382" s="63"/>
      <c r="B382" s="63"/>
      <c r="I382" s="63"/>
      <c r="J382" s="65"/>
      <c r="K382" s="65"/>
      <c r="L382" s="63"/>
      <c r="M382" s="65"/>
      <c r="N382" s="63"/>
    </row>
    <row r="383" spans="1:14" ht="15.95" customHeight="1">
      <c r="A383" s="63"/>
      <c r="B383" s="63"/>
      <c r="I383" s="63"/>
      <c r="J383" s="65"/>
      <c r="K383" s="65"/>
      <c r="L383" s="63"/>
      <c r="M383" s="65"/>
      <c r="N383" s="63"/>
    </row>
    <row r="384" spans="1:14" ht="15.95" customHeight="1">
      <c r="A384" s="63"/>
      <c r="B384" s="63"/>
      <c r="I384" s="63"/>
      <c r="J384" s="65"/>
      <c r="K384" s="65"/>
      <c r="L384" s="63"/>
      <c r="M384" s="65"/>
      <c r="N384" s="63"/>
    </row>
    <row r="385" spans="1:14" ht="15.95" customHeight="1">
      <c r="A385" s="63"/>
      <c r="B385" s="63"/>
      <c r="I385" s="63"/>
      <c r="J385" s="65"/>
      <c r="K385" s="65"/>
      <c r="L385" s="63"/>
      <c r="M385" s="65"/>
      <c r="N385" s="63"/>
    </row>
    <row r="386" spans="1:14" ht="15.95" customHeight="1">
      <c r="A386" s="63"/>
      <c r="B386" s="63"/>
      <c r="I386" s="63"/>
      <c r="J386" s="65"/>
      <c r="K386" s="65"/>
      <c r="L386" s="63"/>
      <c r="M386" s="65"/>
      <c r="N386" s="63"/>
    </row>
    <row r="387" spans="1:14" ht="15.95" customHeight="1">
      <c r="A387" s="63"/>
      <c r="B387" s="63"/>
      <c r="I387" s="63"/>
      <c r="J387" s="65"/>
      <c r="K387" s="65"/>
      <c r="L387" s="63"/>
      <c r="M387" s="65"/>
      <c r="N387" s="63"/>
    </row>
    <row r="388" spans="1:14" ht="15.95" customHeight="1">
      <c r="A388" s="63"/>
      <c r="B388" s="63"/>
      <c r="I388" s="63"/>
      <c r="J388" s="65"/>
      <c r="K388" s="65"/>
      <c r="L388" s="63"/>
      <c r="M388" s="65"/>
      <c r="N388" s="63"/>
    </row>
    <row r="389" spans="1:14" ht="15.95" customHeight="1">
      <c r="A389" s="63"/>
      <c r="B389" s="63"/>
      <c r="I389" s="63"/>
      <c r="J389" s="65"/>
      <c r="K389" s="65"/>
      <c r="L389" s="63"/>
      <c r="M389" s="65"/>
      <c r="N389" s="63"/>
    </row>
    <row r="390" spans="1:14" ht="15.95" customHeight="1">
      <c r="A390" s="63"/>
      <c r="B390" s="63"/>
      <c r="I390" s="63"/>
      <c r="J390" s="65"/>
      <c r="K390" s="65"/>
      <c r="L390" s="63"/>
      <c r="M390" s="65"/>
      <c r="N390" s="63"/>
    </row>
    <row r="391" spans="1:14" ht="15.95" customHeight="1">
      <c r="A391" s="63"/>
      <c r="B391" s="63"/>
      <c r="I391" s="63"/>
      <c r="J391" s="65"/>
      <c r="K391" s="65"/>
      <c r="L391" s="63"/>
      <c r="M391" s="65"/>
      <c r="N391" s="63"/>
    </row>
    <row r="392" spans="1:14" ht="15.95" customHeight="1">
      <c r="A392" s="63"/>
      <c r="B392" s="63"/>
      <c r="I392" s="63"/>
      <c r="J392" s="65"/>
      <c r="K392" s="65"/>
      <c r="L392" s="63"/>
      <c r="M392" s="65"/>
      <c r="N392" s="63"/>
    </row>
    <row r="393" spans="1:14" ht="15.95" customHeight="1">
      <c r="A393" s="63"/>
      <c r="B393" s="63"/>
      <c r="I393" s="63"/>
      <c r="J393" s="65"/>
      <c r="K393" s="65"/>
      <c r="L393" s="63"/>
      <c r="M393" s="65"/>
      <c r="N393" s="63"/>
    </row>
    <row r="394" spans="1:14" ht="15.95" customHeight="1">
      <c r="A394" s="63"/>
      <c r="B394" s="63"/>
      <c r="I394" s="63"/>
      <c r="J394" s="65"/>
      <c r="K394" s="65"/>
      <c r="L394" s="63"/>
      <c r="M394" s="65"/>
      <c r="N394" s="63"/>
    </row>
    <row r="395" spans="1:14" ht="15.95" customHeight="1">
      <c r="A395" s="63"/>
      <c r="B395" s="63"/>
      <c r="I395" s="63"/>
      <c r="J395" s="65"/>
      <c r="K395" s="65"/>
      <c r="L395" s="63"/>
      <c r="M395" s="65"/>
      <c r="N395" s="63"/>
    </row>
    <row r="396" spans="1:14" ht="15.95" customHeight="1">
      <c r="A396" s="63"/>
      <c r="B396" s="63"/>
      <c r="I396" s="63"/>
      <c r="J396" s="65"/>
      <c r="K396" s="65"/>
      <c r="L396" s="63"/>
      <c r="M396" s="65"/>
      <c r="N396" s="63"/>
    </row>
    <row r="397" spans="1:14" ht="15.95" customHeight="1">
      <c r="A397" s="63"/>
      <c r="B397" s="63"/>
      <c r="I397" s="63"/>
      <c r="J397" s="65"/>
      <c r="K397" s="65"/>
      <c r="L397" s="63"/>
      <c r="M397" s="65"/>
      <c r="N397" s="63"/>
    </row>
    <row r="398" spans="1:14" ht="15.95" customHeight="1">
      <c r="A398" s="63"/>
      <c r="B398" s="63"/>
      <c r="I398" s="63"/>
      <c r="J398" s="65"/>
      <c r="K398" s="65"/>
      <c r="L398" s="63"/>
      <c r="M398" s="65"/>
      <c r="N398" s="63"/>
    </row>
    <row r="399" spans="1:14" ht="15.95" customHeight="1">
      <c r="A399" s="63"/>
      <c r="B399" s="63"/>
      <c r="I399" s="63"/>
      <c r="J399" s="65"/>
      <c r="K399" s="65"/>
      <c r="L399" s="63"/>
      <c r="M399" s="65"/>
      <c r="N399" s="63"/>
    </row>
    <row r="400" spans="1:14" ht="15.95" customHeight="1">
      <c r="A400" s="63"/>
      <c r="B400" s="63"/>
      <c r="I400" s="63"/>
      <c r="J400" s="65"/>
      <c r="K400" s="65"/>
      <c r="L400" s="63"/>
      <c r="M400" s="65"/>
      <c r="N400" s="63"/>
    </row>
    <row r="401" spans="1:14" ht="15.95" customHeight="1">
      <c r="A401" s="63"/>
      <c r="B401" s="63"/>
      <c r="I401" s="63"/>
      <c r="J401" s="65"/>
      <c r="K401" s="65"/>
      <c r="L401" s="63"/>
      <c r="M401" s="65"/>
      <c r="N401" s="63"/>
    </row>
    <row r="402" spans="1:14" ht="15.95" customHeight="1">
      <c r="A402" s="63"/>
      <c r="B402" s="63"/>
      <c r="I402" s="63"/>
      <c r="J402" s="65"/>
      <c r="K402" s="65"/>
      <c r="L402" s="63"/>
      <c r="M402" s="65"/>
      <c r="N402" s="63"/>
    </row>
    <row r="403" spans="1:14" ht="15.95" customHeight="1">
      <c r="A403" s="63"/>
      <c r="B403" s="63"/>
      <c r="I403" s="63"/>
      <c r="J403" s="65"/>
      <c r="K403" s="65"/>
      <c r="L403" s="63"/>
      <c r="M403" s="65"/>
      <c r="N403" s="63"/>
    </row>
    <row r="404" spans="1:14" ht="15.95" customHeight="1">
      <c r="A404" s="63"/>
      <c r="B404" s="63"/>
      <c r="I404" s="63"/>
      <c r="J404" s="65"/>
      <c r="K404" s="65"/>
      <c r="L404" s="63"/>
      <c r="M404" s="65"/>
      <c r="N404" s="63"/>
    </row>
    <row r="405" spans="1:14" ht="15.95" customHeight="1">
      <c r="A405" s="63"/>
      <c r="B405" s="63"/>
      <c r="I405" s="63"/>
      <c r="J405" s="65"/>
      <c r="K405" s="65"/>
      <c r="L405" s="63"/>
      <c r="M405" s="65"/>
      <c r="N405" s="63"/>
    </row>
    <row r="406" spans="1:14" ht="15.95" customHeight="1">
      <c r="A406" s="63"/>
      <c r="B406" s="63"/>
      <c r="I406" s="63"/>
      <c r="J406" s="65"/>
      <c r="K406" s="65"/>
      <c r="L406" s="63"/>
      <c r="M406" s="65"/>
      <c r="N406" s="63"/>
    </row>
    <row r="407" spans="1:14" ht="15.95" customHeight="1">
      <c r="A407" s="63"/>
      <c r="B407" s="63"/>
      <c r="I407" s="63"/>
      <c r="J407" s="65"/>
      <c r="K407" s="65"/>
      <c r="L407" s="63"/>
      <c r="M407" s="65"/>
      <c r="N407" s="63"/>
    </row>
    <row r="408" spans="1:14" ht="15.95" customHeight="1">
      <c r="A408" s="63"/>
      <c r="B408" s="63"/>
      <c r="I408" s="63"/>
      <c r="J408" s="65"/>
      <c r="K408" s="65"/>
      <c r="L408" s="63"/>
      <c r="M408" s="65"/>
      <c r="N408" s="63"/>
    </row>
    <row r="409" spans="1:14" ht="15.95" customHeight="1">
      <c r="A409" s="63"/>
      <c r="B409" s="63"/>
      <c r="I409" s="63"/>
      <c r="J409" s="65"/>
      <c r="K409" s="65"/>
      <c r="L409" s="63"/>
      <c r="M409" s="65"/>
      <c r="N409" s="63"/>
    </row>
    <row r="410" spans="1:14" ht="15.95" customHeight="1">
      <c r="A410" s="63"/>
      <c r="B410" s="63"/>
      <c r="I410" s="63"/>
      <c r="J410" s="65"/>
      <c r="K410" s="65"/>
      <c r="L410" s="63"/>
      <c r="M410" s="65"/>
      <c r="N410" s="63"/>
    </row>
    <row r="411" spans="1:14" ht="15.95" customHeight="1">
      <c r="A411" s="63"/>
      <c r="B411" s="63"/>
      <c r="I411" s="63"/>
      <c r="J411" s="65"/>
      <c r="K411" s="65"/>
      <c r="L411" s="63"/>
      <c r="M411" s="65"/>
      <c r="N411" s="63"/>
    </row>
    <row r="412" spans="1:14" ht="15.95" customHeight="1">
      <c r="A412" s="63"/>
      <c r="B412" s="63"/>
      <c r="I412" s="63"/>
      <c r="J412" s="65"/>
      <c r="K412" s="65"/>
      <c r="L412" s="63"/>
      <c r="M412" s="65"/>
      <c r="N412" s="63"/>
    </row>
    <row r="413" spans="1:14" ht="15.95" customHeight="1">
      <c r="A413" s="63"/>
      <c r="B413" s="63"/>
      <c r="I413" s="63"/>
      <c r="J413" s="65"/>
      <c r="K413" s="65"/>
      <c r="L413" s="63"/>
      <c r="M413" s="65"/>
      <c r="N413" s="63"/>
    </row>
  </sheetData>
  <mergeCells count="8">
    <mergeCell ref="J2:K2"/>
    <mergeCell ref="D7:H7"/>
    <mergeCell ref="J7:K7"/>
    <mergeCell ref="C1:H1"/>
    <mergeCell ref="C2:C3"/>
    <mergeCell ref="H2:H3"/>
    <mergeCell ref="J6:K6"/>
    <mergeCell ref="D6:H6"/>
  </mergeCells>
  <conditionalFormatting sqref="D9:H11 D20:H25 K22 D31:H31 K31 D34:H34 K34 D42:H43 D48:H496">
    <cfRule type="expression" dxfId="46" priority="94">
      <formula>AND(IF($A9="+",1),IF(D9&gt;=$D$2,1),IF(D9&lt;=$E$2,1))</formula>
    </cfRule>
    <cfRule type="expression" dxfId="45" priority="89">
      <formula>AND(IF($B11="0",1),IF(OFFSET(D$9,MATCH("+",$A$9:$A11,1)-1,0)&gt;=$D$4,1),IF(OFFSET(D$9,MATCH("+",$A$9:$A11,1)-1,0)&lt;=$E$4,1))</formula>
    </cfRule>
  </conditionalFormatting>
  <conditionalFormatting sqref="D9:H496">
    <cfRule type="expression" dxfId="44" priority="6">
      <formula>AND(IF($A9="+",1),IF(D9&gt;=$D$4,1),IF(D9&lt;=$E$4,1))</formula>
    </cfRule>
  </conditionalFormatting>
  <conditionalFormatting sqref="D12:H13">
    <cfRule type="expression" dxfId="43" priority="85">
      <formula>AND(IF($B20="0",1),IF(OFFSET(D$9,MATCH("+",$A$9:$A20,1)-1,0)&gt;=$D$4,1),IF(OFFSET(D$9,MATCH("+",$A$9:$A20,1)-1,0)&lt;=$E$4,1))</formula>
    </cfRule>
    <cfRule type="expression" dxfId="42" priority="87">
      <formula>AND(IF($A12="+",1),IF(D12&gt;=$D$3,1),IF(D12&lt;=$E$3,1))</formula>
    </cfRule>
    <cfRule type="expression" dxfId="41" priority="88">
      <formula>AND(IF($A12="+",1),IF(D12&gt;=$D$2,1),IF(D12&lt;=$E$2,1))</formula>
    </cfRule>
  </conditionalFormatting>
  <conditionalFormatting sqref="D14:H14">
    <cfRule type="expression" dxfId="40" priority="418">
      <formula>AND(IF($A14="+",1),IF(D14&gt;=$D$2,1),IF(D14&lt;=$E$2,1))</formula>
    </cfRule>
    <cfRule type="expression" dxfId="39" priority="417">
      <formula>AND(IF($A14="+",1),IF(D14&gt;=$D$3,1),IF(D14&lt;=$E$3,1))</formula>
    </cfRule>
    <cfRule type="expression" dxfId="38" priority="415">
      <formula>AND(IF($B21="0",1),IF(OFFSET(D$9,MATCH("+",$A$9:$A21,1)-1,0)&gt;=$D$4,1),IF(OFFSET(D$9,MATCH("+",$A$9:$A21,1)-1,0)&lt;=$E$4,1))</formula>
    </cfRule>
  </conditionalFormatting>
  <conditionalFormatting sqref="D15:H16 D37:H37 K37">
    <cfRule type="expression" dxfId="37" priority="81">
      <formula>AND(IF($B21="0",1),IF(OFFSET(D$9,MATCH("+",$A$9:$A21,1)-1,0)&gt;=$D$4,1),IF(OFFSET(D$9,MATCH("+",$A$9:$A21,1)-1,0)&lt;=$E$4,1))</formula>
    </cfRule>
    <cfRule type="expression" dxfId="36" priority="83">
      <formula>AND(IF($A15="+",1),IF(D15&gt;=$D$3,1),IF(D15&lt;=$E$3,1))</formula>
    </cfRule>
    <cfRule type="expression" dxfId="35" priority="84">
      <formula>AND(IF($A15="+",1),IF(D15&gt;=$D$2,1),IF(D15&lt;=$E$2,1))</formula>
    </cfRule>
  </conditionalFormatting>
  <conditionalFormatting sqref="D17:H17 D29:H29 K29 D39:H39 K39">
    <cfRule type="expression" dxfId="34" priority="73">
      <formula>AND(IF($B21="0",1),IF(OFFSET(D$9,MATCH("+",$A$9:$A21,1)-1,0)&gt;=$D$4,1),IF(OFFSET(D$9,MATCH("+",$A$9:$A21,1)-1,0)&lt;=$E$4,1))</formula>
    </cfRule>
    <cfRule type="expression" dxfId="33" priority="76">
      <formula>AND(IF($A17="+",1),IF(D17&gt;=$D$2,1),IF(D17&lt;=$E$2,1))</formula>
    </cfRule>
  </conditionalFormatting>
  <conditionalFormatting sqref="D18:H19 D30:H30 K30">
    <cfRule type="expression" dxfId="32" priority="69">
      <formula>AND(IF($B21="0",1),IF(OFFSET(D$9,MATCH("+",$A$9:$A21,1)-1,0)&gt;=$D$4,1),IF(OFFSET(D$9,MATCH("+",$A$9:$A21,1)-1,0)&lt;=$E$4,1))</formula>
    </cfRule>
    <cfRule type="expression" dxfId="31" priority="72">
      <formula>AND(IF($A18="+",1),IF(D18&gt;=$D$2,1),IF(D18&lt;=$E$2,1))</formula>
    </cfRule>
  </conditionalFormatting>
  <conditionalFormatting sqref="D26:H26 K26 D32:H32 K32">
    <cfRule type="expression" dxfId="30" priority="395">
      <formula>AND(IF(#REF!="0",1),IF(OFFSET(D$9,MATCH("+",$A$9:$A27,1)-1,0)&gt;=$D$4,1),IF(OFFSET(D$9,MATCH("+",$A$9:$A27,1)-1,0)&lt;=$E$4,1))</formula>
    </cfRule>
    <cfRule type="expression" dxfId="29" priority="398">
      <formula>AND(IF($A26="+",1),IF(D26&gt;=$D$2,1),IF(D26&lt;=$E$2,1))</formula>
    </cfRule>
  </conditionalFormatting>
  <conditionalFormatting sqref="D27:H28 K28 D38:H38 K38">
    <cfRule type="expression" dxfId="28" priority="77">
      <formula>AND(IF($B32="0",1),IF(OFFSET(D$9,MATCH("+",$A$9:$A32,1)-1,0)&gt;=$D$4,1),IF(OFFSET(D$9,MATCH("+",$A$9:$A32,1)-1,0)&lt;=$E$4,1))</formula>
    </cfRule>
    <cfRule type="expression" dxfId="27" priority="79">
      <formula>AND(IF($A27="+",1),IF(D27&gt;=$D$3,1),IF(D27&lt;=$E$3,1))</formula>
    </cfRule>
    <cfRule type="expression" dxfId="26" priority="80">
      <formula>AND(IF($A27="+",1),IF(D27&gt;=$D$2,1),IF(D27&lt;=$E$2,1))</formula>
    </cfRule>
  </conditionalFormatting>
  <conditionalFormatting sqref="D33:H33">
    <cfRule type="expression" dxfId="25" priority="510">
      <formula>AND(IF($A33="+",1),IF(D33&gt;=$D$2,1),IF(D33&lt;=$E$2,1))</formula>
    </cfRule>
    <cfRule type="expression" dxfId="24" priority="507">
      <formula>AND(IF(#REF!="0",1),IF(OFFSET(D$9,MATCH("+",$A$9:$A33,1)-1,0)&gt;=$D$4,1),IF(OFFSET(D$9,MATCH("+",$A$9:$A33,1)-1,0)&lt;=$E$4,1))</formula>
    </cfRule>
    <cfRule type="expression" dxfId="23" priority="509">
      <formula>AND(IF($A33="+",1),IF(D33&gt;=$D$3,1),IF(D33&lt;=$E$3,1))</formula>
    </cfRule>
  </conditionalFormatting>
  <conditionalFormatting sqref="D35:H35 D45:H45">
    <cfRule type="expression" dxfId="22" priority="235">
      <formula>AND(IF(#REF!="0",1),IF(OFFSET(D$9,MATCH("+",$A$9:$A36,1)-1,0)&gt;=$D$4,1),IF(OFFSET(D$9,MATCH("+",$A$9:$A36,1)-1,0)&lt;=$E$4,1))</formula>
    </cfRule>
    <cfRule type="expression" dxfId="21" priority="237">
      <formula>AND(IF($A35="+",1),IF(D35&gt;=$D$3,1),IF(D35&lt;=$E$3,1))</formula>
    </cfRule>
    <cfRule type="expression" dxfId="20" priority="238">
      <formula>AND(IF($A35="+",1),IF(D35&gt;=$D$2,1),IF(D35&lt;=$E$2,1))</formula>
    </cfRule>
  </conditionalFormatting>
  <conditionalFormatting sqref="D36:H36 K36">
    <cfRule type="expression" dxfId="19" priority="247">
      <formula>AND(IF(#REF!="0",1),IF(OFFSET(D$9,MATCH("+",$A$9:$A42,1)-1,0)&gt;=$D$4,1),IF(OFFSET(D$9,MATCH("+",$A$9:$A42,1)-1,0)&lt;=$E$4,1))</formula>
    </cfRule>
    <cfRule type="expression" dxfId="18" priority="249">
      <formula>AND(IF($A36="+",1),IF(D36&gt;=$D$3,1),IF(D36&lt;=$E$3,1))</formula>
    </cfRule>
    <cfRule type="expression" dxfId="17" priority="250">
      <formula>AND(IF($A36="+",1),IF(D36&gt;=$D$2,1),IF(D36&lt;=$E$2,1))</formula>
    </cfRule>
  </conditionalFormatting>
  <conditionalFormatting sqref="D40:H41">
    <cfRule type="expression" dxfId="16" priority="313">
      <formula>AND(IF($A40="+",1),IF(D40&gt;=$D$3,1),IF(D40&lt;=$E$3,1))</formula>
    </cfRule>
    <cfRule type="expression" dxfId="15" priority="314">
      <formula>AND(IF($A40="+",1),IF(D40&gt;=$D$2,1),IF(D40&lt;=$E$2,1))</formula>
    </cfRule>
    <cfRule type="expression" dxfId="14" priority="311">
      <formula>AND(IF(#REF!="0",1),IF(OFFSET(D$9,MATCH("+",$A$9:$A42,1)-1,0)&gt;=$D$4,1),IF(OFFSET(D$9,MATCH("+",$A$9:$A42,1)-1,0)&lt;=$E$4,1))</formula>
    </cfRule>
  </conditionalFormatting>
  <conditionalFormatting sqref="D44:H44">
    <cfRule type="expression" dxfId="13" priority="16">
      <formula>AND(IF($A44="+",1),IF(D44&gt;=$D$2,1),IF(D44&lt;=$E$2,1))</formula>
    </cfRule>
    <cfRule type="expression" dxfId="12" priority="15">
      <formula>AND(IF($A44="+",1),IF(D44&gt;=$D$3,1),IF(D44&lt;=$E$3,1))</formula>
    </cfRule>
    <cfRule type="expression" dxfId="11" priority="13">
      <formula>AND(IF(#REF!="0",1),IF(OFFSET(D$9,MATCH("+",$A$9:$A46,1)-1,0)&gt;=$D$4,1),IF(OFFSET(D$9,MATCH("+",$A$9:$A46,1)-1,0)&lt;=$E$4,1))</formula>
    </cfRule>
  </conditionalFormatting>
  <conditionalFormatting sqref="D46:H47">
    <cfRule type="expression" dxfId="10" priority="7">
      <formula>AND(IF($A46="+",1),IF(D46&gt;=$D$3,1),IF(D46&lt;=$E$3,1))</formula>
    </cfRule>
    <cfRule type="expression" dxfId="9" priority="8">
      <formula>AND(IF($A46="+",1),IF(D46&gt;=$D$2,1),IF(D46&lt;=$E$2,1))</formula>
    </cfRule>
    <cfRule type="expression" dxfId="8" priority="5">
      <formula>AND(IF(#REF!="0",1),IF(OFFSET(D$9,MATCH("+",$A$9:$A46,1)-1,0)&gt;=$D$4,1),IF(OFFSET(D$9,MATCH("+",$A$9:$A46,1)-1,0)&lt;=$E$4,1))</formula>
    </cfRule>
  </conditionalFormatting>
  <conditionalFormatting sqref="K22 K34 D9:H11 D20:H25 D31:H31 K31 D34:H34 D42:H43 D48:H496">
    <cfRule type="expression" dxfId="7" priority="93">
      <formula>AND(IF($A9="+",1),IF(D9&gt;=$D$3,1),IF(D9&lt;=$E$3,1))</formula>
    </cfRule>
  </conditionalFormatting>
  <conditionalFormatting sqref="K22 K34">
    <cfRule type="expression" dxfId="6" priority="92">
      <formula>AND(IF($A22="+",1),IF(K22&gt;=$D$4,1),IF(K22&lt;=$E$4,1))</formula>
    </cfRule>
  </conditionalFormatting>
  <conditionalFormatting sqref="K26 D26:H26 D32:H32 K32">
    <cfRule type="expression" dxfId="5" priority="397">
      <formula>AND(IF($A26="+",1),IF(D26&gt;=$D$3,1),IF(D26&lt;=$E$3,1))</formula>
    </cfRule>
  </conditionalFormatting>
  <conditionalFormatting sqref="K26">
    <cfRule type="expression" dxfId="4" priority="396">
      <formula>AND(IF($A26="+",1),IF(K26&gt;=$D$4,1),IF(K26&lt;=$E$4,1))</formula>
    </cfRule>
  </conditionalFormatting>
  <conditionalFormatting sqref="K28:K32">
    <cfRule type="expression" dxfId="3" priority="70">
      <formula>AND(IF($A28="+",1),IF(K28&gt;=$D$4,1),IF(K28&lt;=$E$4,1))</formula>
    </cfRule>
  </conditionalFormatting>
  <conditionalFormatting sqref="K30 D18:H19 D30:H30">
    <cfRule type="expression" dxfId="2" priority="71">
      <formula>AND(IF($A18="+",1),IF(D18&gt;=$D$3,1),IF(D18&lt;=$E$3,1))</formula>
    </cfRule>
  </conditionalFormatting>
  <conditionalFormatting sqref="K36:K39">
    <cfRule type="expression" dxfId="1" priority="74">
      <formula>AND(IF($A36="+",1),IF(K36&gt;=$D$4,1),IF(K36&lt;=$E$4,1))</formula>
    </cfRule>
  </conditionalFormatting>
  <conditionalFormatting sqref="K39 D17:H17 D29:H29 K29 D39:H39">
    <cfRule type="expression" dxfId="0" priority="75">
      <formula>AND(IF($A17="+",1),IF(D17&gt;=$D$3,1),IF(D17&lt;=$E$3,1))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0" id="{16B53C75-4D5A-40BD-A288-7D7F799AB91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J3:K3</xm:sqref>
        </x14:conditionalFormatting>
        <x14:conditionalFormatting xmlns:xm="http://schemas.microsoft.com/office/excel/2006/main">
          <x14:cfRule type="iconSet" priority="91" id="{E6ED9F18-FA19-4BA4-8CD7-383B816AB74E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J8:K8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7"/>
  <sheetViews>
    <sheetView workbookViewId="0">
      <selection activeCell="B4" sqref="B4:C4"/>
    </sheetView>
  </sheetViews>
  <sheetFormatPr defaultColWidth="9.140625" defaultRowHeight="12.6"/>
  <cols>
    <col min="1" max="1" width="1.85546875" customWidth="1"/>
    <col min="2" max="3" width="50.5703125" customWidth="1"/>
  </cols>
  <sheetData>
    <row r="1" spans="2:3" ht="13.15" thickBot="1"/>
    <row r="2" spans="2:3" ht="65.099999999999994" thickTop="1" thickBot="1">
      <c r="B2" s="96" t="s">
        <v>57</v>
      </c>
      <c r="C2" s="97"/>
    </row>
    <row r="3" spans="2:3" ht="64.5" thickTop="1">
      <c r="B3" s="98" t="s">
        <v>58</v>
      </c>
      <c r="C3" s="98"/>
    </row>
    <row r="4" spans="2:3" ht="64.5" thickBot="1">
      <c r="B4" s="99" t="str">
        <f>T('Core HTMLCSS'!J7:K7)</f>
        <v>2020-Q2</v>
      </c>
      <c r="C4" s="99"/>
    </row>
    <row r="5" spans="2:3" ht="65.099999999999994" thickTop="1" thickBot="1">
      <c r="B5" s="66" t="str">
        <f>CONCATENATE("L ", 'Core HTMLCSS'!J8)</f>
        <v>L 1</v>
      </c>
      <c r="C5" s="66" t="str">
        <f>CONCATENATE("L ", 'Core HTMLCSS'!K8)</f>
        <v>L 2</v>
      </c>
    </row>
    <row r="6" spans="2:3" ht="64.5" thickTop="1">
      <c r="B6" s="67">
        <f ca="1">IF(B7&gt;='Core HTMLCSS'!$H$4,1,0)</f>
        <v>1</v>
      </c>
      <c r="C6" s="67">
        <f ca="1">IF(C7&gt;='Core HTMLCSS'!$H$4,1,0)</f>
        <v>0</v>
      </c>
    </row>
    <row r="7" spans="2:3" ht="63.95">
      <c r="B7" s="68">
        <f ca="1">'Core HTMLCSS'!J4</f>
        <v>0.95797720797720798</v>
      </c>
      <c r="C7" s="68">
        <f ca="1">'Core HTMLCSS'!K4</f>
        <v>0</v>
      </c>
    </row>
  </sheetData>
  <protectedRanges>
    <protectedRange sqref="B2:C5" name="Assessment_data_5" securityDescriptor="O:WDG:WDD:(A;;CC;;;WD)"/>
  </protectedRanges>
  <mergeCells count="3">
    <mergeCell ref="B2:C2"/>
    <mergeCell ref="B3:C3"/>
    <mergeCell ref="B4:C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25B7615-A3F2-4629-9157-E72F91C75555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B5:C5</xm:sqref>
        </x14:conditionalFormatting>
        <x14:conditionalFormatting xmlns:xm="http://schemas.microsoft.com/office/excel/2006/main">
          <x14:cfRule type="iconSet" priority="1" id="{08785632-951C-465C-8849-065CEE07BD4C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B6:C6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FA6BF5C8930349A129FF6219BF6F5D" ma:contentTypeVersion="11" ma:contentTypeDescription="Create a new document." ma:contentTypeScope="" ma:versionID="d2b019555793b76630bef6bab46b15d3">
  <xsd:schema xmlns:xsd="http://www.w3.org/2001/XMLSchema" xmlns:xs="http://www.w3.org/2001/XMLSchema" xmlns:p="http://schemas.microsoft.com/office/2006/metadata/properties" xmlns:ns2="4d64798f-d65c-47cf-a565-7f8f2a3efc06" xmlns:ns3="5591b154-d69b-40b9-88a6-d3c2a8042aff" targetNamespace="http://schemas.microsoft.com/office/2006/metadata/properties" ma:root="true" ma:fieldsID="84c55c535e54467cf6e2bb04c224af39" ns2:_="" ns3:_="">
    <xsd:import namespace="4d64798f-d65c-47cf-a565-7f8f2a3efc06"/>
    <xsd:import namespace="5591b154-d69b-40b9-88a6-d3c2a804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4798f-d65c-47cf-a565-7f8f2a3ef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1b154-d69b-40b9-88a6-d3c2a8042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3DA5F9-5C4F-497B-B89B-6D8014482ECC}"/>
</file>

<file path=customXml/itemProps2.xml><?xml version="1.0" encoding="utf-8"?>
<ds:datastoreItem xmlns:ds="http://schemas.openxmlformats.org/officeDocument/2006/customXml" ds:itemID="{F013E585-7193-4856-A6A7-DD2DAAF0E83A}"/>
</file>

<file path=customXml/itemProps3.xml><?xml version="1.0" encoding="utf-8"?>
<ds:datastoreItem xmlns:ds="http://schemas.openxmlformats.org/officeDocument/2006/customXml" ds:itemID="{0C38ECFE-D136-4884-9EF1-36CE1D464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Yauheni Pas</dc:creator>
  <cp:keywords/>
  <dc:description/>
  <cp:lastModifiedBy>Ashish Gupta</cp:lastModifiedBy>
  <cp:revision/>
  <dcterms:created xsi:type="dcterms:W3CDTF">2014-11-03T12:51:45Z</dcterms:created>
  <dcterms:modified xsi:type="dcterms:W3CDTF">2026-02-02T06:37:38Z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0x01010080FA6BF5C8930349A129FF6219BF6F5D</vt:lpwstr>
  </property>
  <property fmtid="{D5CDD505-2E9C-101B-9397-08002B2CF9AE}" pid="3" name="MSIP_Label_2a535040-0af2-483f-adc3-a132c21e3e2b_Enabled">
    <vt:lpwstr>true</vt:lpwstr>
  </property>
  <property fmtid="{D5CDD505-2E9C-101B-9397-08002B2CF9AE}" pid="4" name="MSIP_Label_2a535040-0af2-483f-adc3-a132c21e3e2b_SetDate">
    <vt:lpwstr>2024-05-27T07:33:29Z</vt:lpwstr>
  </property>
  <property fmtid="{D5CDD505-2E9C-101B-9397-08002B2CF9AE}" pid="5" name="MSIP_Label_2a535040-0af2-483f-adc3-a132c21e3e2b_Method">
    <vt:lpwstr>Standard</vt:lpwstr>
  </property>
  <property fmtid="{D5CDD505-2E9C-101B-9397-08002B2CF9AE}" pid="6" name="MSIP_Label_2a535040-0af2-483f-adc3-a132c21e3e2b_Name">
    <vt:lpwstr>EPAM_Confidential</vt:lpwstr>
  </property>
  <property fmtid="{D5CDD505-2E9C-101B-9397-08002B2CF9AE}" pid="7" name="MSIP_Label_2a535040-0af2-483f-adc3-a132c21e3e2b_SiteId">
    <vt:lpwstr>b41b72d0-4e9f-4c26-8a69-f949f367c91d</vt:lpwstr>
  </property>
  <property fmtid="{D5CDD505-2E9C-101B-9397-08002B2CF9AE}" pid="8" name="MSIP_Label_2a535040-0af2-483f-adc3-a132c21e3e2b_ActionId">
    <vt:lpwstr>6a5d6307-c083-4c2f-a350-6d49c7934d4f</vt:lpwstr>
  </property>
  <property fmtid="{D5CDD505-2E9C-101B-9397-08002B2CF9AE}" pid="9" name="MSIP_Label_2a535040-0af2-483f-adc3-a132c21e3e2b_ContentBits">
    <vt:lpwstr>0</vt:lpwstr>
  </property>
</Properties>
</file>