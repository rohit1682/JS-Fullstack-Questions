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hitGhosh\Desktop\"/>
    </mc:Choice>
  </mc:AlternateContent>
  <xr:revisionPtr revIDLastSave="0" documentId="13_ncr:1_{FED1FF80-E838-481D-9C3F-4A014F5B4789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Core Web Development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11" i="1"/>
  <c r="AF11" i="1"/>
  <c r="V11" i="1"/>
  <c r="AE32" i="1"/>
  <c r="AD32" i="1"/>
  <c r="AB32" i="1"/>
  <c r="AA32" i="1"/>
  <c r="Y32" i="1"/>
  <c r="X32" i="1"/>
  <c r="V32" i="1"/>
  <c r="U32" i="1"/>
  <c r="AE31" i="1"/>
  <c r="AD31" i="1"/>
  <c r="AB31" i="1"/>
  <c r="AA31" i="1"/>
  <c r="Y31" i="1"/>
  <c r="X31" i="1"/>
  <c r="V31" i="1"/>
  <c r="U31" i="1"/>
  <c r="AE26" i="1"/>
  <c r="AD26" i="1"/>
  <c r="AB26" i="1"/>
  <c r="AA26" i="1"/>
  <c r="Y26" i="1"/>
  <c r="X26" i="1"/>
  <c r="V26" i="1"/>
  <c r="U26" i="1"/>
  <c r="AE25" i="1"/>
  <c r="AD25" i="1"/>
  <c r="AB25" i="1"/>
  <c r="AA25" i="1"/>
  <c r="Y25" i="1"/>
  <c r="X25" i="1"/>
  <c r="V25" i="1"/>
  <c r="U25" i="1"/>
  <c r="AE20" i="1"/>
  <c r="AD20" i="1"/>
  <c r="AB20" i="1"/>
  <c r="AA20" i="1"/>
  <c r="Y20" i="1"/>
  <c r="X20" i="1"/>
  <c r="V20" i="1"/>
  <c r="U20" i="1"/>
  <c r="X11" i="1"/>
  <c r="X12" i="1"/>
  <c r="Y12" i="1"/>
  <c r="Z12" i="1"/>
  <c r="AB12" i="1"/>
  <c r="AC12" i="1"/>
  <c r="AB13" i="1"/>
  <c r="AC13" i="1"/>
  <c r="AB14" i="1"/>
  <c r="AC14" i="1"/>
  <c r="AB15" i="1"/>
  <c r="AC15" i="1"/>
  <c r="AB11" i="1"/>
  <c r="Y13" i="1"/>
  <c r="Z13" i="1"/>
  <c r="Y14" i="1"/>
  <c r="Z14" i="1"/>
  <c r="Y15" i="1"/>
  <c r="Z15" i="1"/>
  <c r="Y11" i="1"/>
  <c r="X13" i="1"/>
  <c r="X14" i="1"/>
  <c r="X15" i="1"/>
  <c r="AE12" i="1"/>
  <c r="AF12" i="1"/>
  <c r="AE13" i="1"/>
  <c r="AF13" i="1"/>
  <c r="AE14" i="1"/>
  <c r="AF14" i="1"/>
  <c r="AE15" i="1"/>
  <c r="AF15" i="1"/>
  <c r="AE11" i="1"/>
  <c r="AD12" i="1"/>
  <c r="AD13" i="1"/>
  <c r="AD14" i="1"/>
  <c r="AD15" i="1"/>
  <c r="AD11" i="1"/>
  <c r="AA12" i="1"/>
  <c r="AA13" i="1"/>
  <c r="AA14" i="1"/>
  <c r="AA15" i="1"/>
  <c r="AA11" i="1"/>
  <c r="AE49" i="1"/>
  <c r="AE50" i="1"/>
  <c r="AE51" i="1"/>
  <c r="AE48" i="1"/>
  <c r="AE45" i="1"/>
  <c r="AE46" i="1"/>
  <c r="AE44" i="1"/>
  <c r="AE41" i="1"/>
  <c r="AE42" i="1"/>
  <c r="AE40" i="1"/>
  <c r="AE37" i="1"/>
  <c r="AE38" i="1"/>
  <c r="AE36" i="1"/>
  <c r="AE30" i="1"/>
  <c r="AE33" i="1"/>
  <c r="AE24" i="1"/>
  <c r="AE27" i="1"/>
  <c r="AE28" i="1"/>
  <c r="AE18" i="1"/>
  <c r="AE19" i="1"/>
  <c r="AE21" i="1"/>
  <c r="AE22" i="1"/>
  <c r="AE17" i="1"/>
  <c r="AD49" i="1"/>
  <c r="AD50" i="1"/>
  <c r="AD51" i="1"/>
  <c r="AD48" i="1"/>
  <c r="AD45" i="1"/>
  <c r="AD46" i="1"/>
  <c r="AD44" i="1"/>
  <c r="AD41" i="1"/>
  <c r="AD42" i="1"/>
  <c r="AD40" i="1"/>
  <c r="AD37" i="1"/>
  <c r="AD38" i="1"/>
  <c r="AD36" i="1"/>
  <c r="AD30" i="1"/>
  <c r="AD33" i="1"/>
  <c r="AD24" i="1"/>
  <c r="AD27" i="1"/>
  <c r="AD28" i="1"/>
  <c r="AD18" i="1"/>
  <c r="AD19" i="1"/>
  <c r="AD21" i="1"/>
  <c r="AD22" i="1"/>
  <c r="AD17" i="1"/>
  <c r="AB49" i="1"/>
  <c r="AB50" i="1"/>
  <c r="AB51" i="1"/>
  <c r="AB48" i="1"/>
  <c r="AB45" i="1"/>
  <c r="AB46" i="1"/>
  <c r="AB44" i="1"/>
  <c r="AB41" i="1"/>
  <c r="AB42" i="1"/>
  <c r="AB40" i="1"/>
  <c r="AB37" i="1"/>
  <c r="AB38" i="1"/>
  <c r="AB36" i="1"/>
  <c r="AB30" i="1"/>
  <c r="AB33" i="1"/>
  <c r="AB24" i="1"/>
  <c r="AB27" i="1"/>
  <c r="AB28" i="1"/>
  <c r="AB18" i="1"/>
  <c r="AB19" i="1"/>
  <c r="AB21" i="1"/>
  <c r="AB22" i="1"/>
  <c r="AB17" i="1"/>
  <c r="Y49" i="1"/>
  <c r="Y50" i="1"/>
  <c r="Y51" i="1"/>
  <c r="Y48" i="1"/>
  <c r="Y45" i="1"/>
  <c r="Y46" i="1"/>
  <c r="Y44" i="1"/>
  <c r="Y41" i="1"/>
  <c r="Y42" i="1"/>
  <c r="Y40" i="1"/>
  <c r="Y37" i="1"/>
  <c r="Y38" i="1"/>
  <c r="Y36" i="1"/>
  <c r="Y30" i="1"/>
  <c r="Y33" i="1"/>
  <c r="Y24" i="1"/>
  <c r="Y27" i="1"/>
  <c r="Y28" i="1"/>
  <c r="Y18" i="1"/>
  <c r="Y19" i="1"/>
  <c r="Y21" i="1"/>
  <c r="Y22" i="1"/>
  <c r="Y17" i="1"/>
  <c r="V49" i="1"/>
  <c r="V50" i="1"/>
  <c r="V51" i="1"/>
  <c r="V48" i="1"/>
  <c r="V45" i="1"/>
  <c r="V46" i="1"/>
  <c r="V44" i="1"/>
  <c r="V41" i="1"/>
  <c r="V42" i="1"/>
  <c r="V40" i="1"/>
  <c r="V37" i="1"/>
  <c r="V38" i="1"/>
  <c r="V36" i="1"/>
  <c r="V30" i="1"/>
  <c r="V33" i="1"/>
  <c r="V24" i="1"/>
  <c r="V27" i="1"/>
  <c r="V28" i="1"/>
  <c r="V18" i="1"/>
  <c r="V19" i="1"/>
  <c r="V21" i="1"/>
  <c r="V22" i="1"/>
  <c r="V17" i="1"/>
  <c r="V12" i="1"/>
  <c r="W12" i="1"/>
  <c r="V13" i="1"/>
  <c r="W13" i="1"/>
  <c r="V14" i="1"/>
  <c r="W14" i="1"/>
  <c r="V15" i="1"/>
  <c r="W15" i="1"/>
  <c r="AA49" i="1"/>
  <c r="AA50" i="1"/>
  <c r="AA51" i="1"/>
  <c r="AA48" i="1"/>
  <c r="AA45" i="1"/>
  <c r="AA46" i="1"/>
  <c r="AA44" i="1"/>
  <c r="AA41" i="1"/>
  <c r="AA42" i="1"/>
  <c r="AA40" i="1"/>
  <c r="AA37" i="1"/>
  <c r="AA38" i="1"/>
  <c r="AA36" i="1"/>
  <c r="AA30" i="1"/>
  <c r="AA33" i="1"/>
  <c r="AA24" i="1"/>
  <c r="AA27" i="1"/>
  <c r="AA28" i="1"/>
  <c r="AA17" i="1"/>
  <c r="AA18" i="1"/>
  <c r="AA19" i="1"/>
  <c r="AA21" i="1"/>
  <c r="AA22" i="1"/>
  <c r="U4" i="1" a="1"/>
  <c r="U4" i="1"/>
  <c r="Z11" i="1"/>
  <c r="X4" i="1" a="1"/>
  <c r="X4" i="1"/>
  <c r="AC11" i="1"/>
  <c r="AA2" i="1" a="1"/>
  <c r="AA2" i="1"/>
  <c r="X2" i="1" a="1"/>
  <c r="X2" i="1"/>
  <c r="U2" i="1" a="1"/>
  <c r="U2" i="1"/>
  <c r="AD2" i="1" a="1"/>
  <c r="AD2" i="1"/>
  <c r="AD4" i="1" a="1"/>
  <c r="AD4" i="1"/>
  <c r="U49" i="1"/>
  <c r="X49" i="1"/>
  <c r="U50" i="1"/>
  <c r="X50" i="1"/>
  <c r="U51" i="1"/>
  <c r="X51" i="1"/>
  <c r="X48" i="1"/>
  <c r="U48" i="1"/>
  <c r="AA4" i="1" a="1"/>
  <c r="AA4" i="1"/>
  <c r="U30" i="1"/>
  <c r="X30" i="1"/>
  <c r="U33" i="1"/>
  <c r="X33" i="1"/>
  <c r="U24" i="1"/>
  <c r="X24" i="1"/>
  <c r="U27" i="1"/>
  <c r="X27" i="1"/>
  <c r="U28" i="1"/>
  <c r="X28" i="1"/>
  <c r="X18" i="1"/>
  <c r="X19" i="1"/>
  <c r="X21" i="1"/>
  <c r="X22" i="1"/>
  <c r="U18" i="1"/>
  <c r="U19" i="1"/>
  <c r="U21" i="1"/>
  <c r="U22" i="1"/>
  <c r="U12" i="1"/>
  <c r="U13" i="1"/>
  <c r="U14" i="1"/>
  <c r="U15" i="1"/>
  <c r="X45" i="1"/>
  <c r="X46" i="1"/>
  <c r="X44" i="1"/>
  <c r="X41" i="1"/>
  <c r="X42" i="1"/>
  <c r="X40" i="1"/>
  <c r="X37" i="1"/>
  <c r="X38" i="1"/>
  <c r="X36" i="1"/>
  <c r="U45" i="1"/>
  <c r="U46" i="1"/>
  <c r="U44" i="1"/>
  <c r="U41" i="1"/>
  <c r="U42" i="1"/>
  <c r="U40" i="1"/>
  <c r="U37" i="1"/>
  <c r="U38" i="1"/>
  <c r="U36" i="1"/>
  <c r="X17" i="1"/>
  <c r="U17" i="1"/>
  <c r="U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Vadzim Yermalitski</author>
  </authors>
  <commentList>
    <comment ref="L2" authorId="0" shapeId="0" xr:uid="{3D757ACB-1E74-4F44-A2DE-AC0B181D8809}">
      <text>
        <r>
          <rPr>
            <sz val="10"/>
            <color rgb="FF000000"/>
            <rFont val="Calibri"/>
            <family val="2"/>
          </rPr>
          <t xml:space="preserve">The minimum topic coverage that must be assessed during the technical check to be considered valid.
</t>
        </r>
      </text>
    </comment>
    <comment ref="L4" authorId="0" shapeId="0" xr:uid="{43202B93-C6C6-E445-958C-146725F0F35E}">
      <text>
        <r>
          <rPr>
            <sz val="10"/>
            <color rgb="FF000000"/>
            <rFont val="Calibri"/>
            <family val="2"/>
          </rPr>
          <t xml:space="preserve">The minimum result required for the technical check to be considered successfully passed.
</t>
        </r>
      </text>
    </comment>
    <comment ref="L7" authorId="0" shapeId="0" xr:uid="{94817208-86E4-764F-B91A-B8B0A589C158}">
      <text>
        <r>
          <rPr>
            <b/>
            <sz val="10"/>
            <color rgb="FF000000"/>
            <rFont val="+mn-lt"/>
            <charset val="1"/>
          </rPr>
          <t>Required knowledge levels: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b/>
            <sz val="10"/>
            <color rgb="FF000000"/>
            <rFont val="+mn-lt"/>
            <charset val="1"/>
          </rPr>
          <t>0</t>
        </r>
        <r>
          <rPr>
            <sz val="10"/>
            <color rgb="FF000000"/>
            <rFont val="+mn-lt"/>
            <charset val="1"/>
          </rPr>
          <t xml:space="preserve"> - No knowledge of the topic is required
</t>
        </r>
        <r>
          <rPr>
            <b/>
            <sz val="10"/>
            <color rgb="FF000000"/>
            <rFont val="+mn-lt"/>
            <charset val="1"/>
          </rPr>
          <t>1</t>
        </r>
        <r>
          <rPr>
            <sz val="10"/>
            <color rgb="FF000000"/>
            <rFont val="+mn-lt"/>
            <charset val="1"/>
          </rPr>
          <t xml:space="preserve"> - Has some theoretical knowledge, can complete simple tasks, and understands code samples
</t>
        </r>
        <r>
          <rPr>
            <b/>
            <sz val="10"/>
            <color rgb="FF000000"/>
            <rFont val="+mn-lt"/>
            <charset val="1"/>
          </rPr>
          <t>2</t>
        </r>
        <r>
          <rPr>
            <sz val="10"/>
            <color rgb="FF000000"/>
            <rFont val="+mn-lt"/>
            <charset val="1"/>
          </rPr>
          <t xml:space="preserve"> - Can complete standard tasks independently without constant supervision
</t>
        </r>
        <r>
          <rPr>
            <b/>
            <sz val="10"/>
            <color rgb="FF000000"/>
            <rFont val="+mn-lt"/>
            <charset val="1"/>
          </rPr>
          <t>3</t>
        </r>
        <r>
          <rPr>
            <sz val="10"/>
            <color rgb="FF000000"/>
            <rFont val="+mn-lt"/>
            <charset val="1"/>
          </rPr>
          <t xml:space="preserve"> - Has relevant experience and can perform most real-life tasks
</t>
        </r>
        <r>
          <rPr>
            <b/>
            <sz val="10"/>
            <color rgb="FF000000"/>
            <rFont val="+mn-lt"/>
            <charset val="1"/>
          </rPr>
          <t>4</t>
        </r>
        <r>
          <rPr>
            <sz val="10"/>
            <color rgb="FF000000"/>
            <rFont val="+mn-lt"/>
            <charset val="1"/>
          </rPr>
          <t xml:space="preserve"> - Has deep understanding, is aware of potential pitfalls, and can mentor and educate others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<sst xmlns="http://schemas.openxmlformats.org/spreadsheetml/2006/main" count="136" uniqueCount="63">
  <si>
    <t>Low priority</t>
  </si>
  <si>
    <t>Moderate priority</t>
  </si>
  <si>
    <t>Important</t>
  </si>
  <si>
    <t>Critical</t>
  </si>
  <si>
    <t xml:space="preserve">Importance: </t>
  </si>
  <si>
    <t xml:space="preserve">Passing threshold: </t>
  </si>
  <si>
    <t>Core Web Development evaluation matrix</t>
  </si>
  <si>
    <t>I</t>
  </si>
  <si>
    <t>Core JavaScript</t>
  </si>
  <si>
    <t>Basic</t>
  </si>
  <si>
    <t>Intermediate</t>
  </si>
  <si>
    <t>Advanced</t>
  </si>
  <si>
    <t>Client-side JavaScript</t>
  </si>
  <si>
    <t xml:space="preserve">Minimal coverage: </t>
  </si>
  <si>
    <t xml:space="preserve">Result: </t>
  </si>
  <si>
    <t xml:space="preserve">Coverage: </t>
  </si>
  <si>
    <t>Comments</t>
  </si>
  <si>
    <t>Expert</t>
  </si>
  <si>
    <r>
      <t>Functional Programming [</t>
    </r>
    <r>
      <rPr>
        <i/>
        <sz val="10"/>
        <color rgb="FF0070C0"/>
        <rFont val="Calibri"/>
        <family val="2"/>
        <scheme val="minor"/>
      </rPr>
      <t>pure functions, immutability, functions as first-class entities, high order functions, functions compositions, memoization, chaining, partial/currying</t>
    </r>
    <r>
      <rPr>
        <sz val="10"/>
        <color theme="1"/>
        <rFont val="Calibri"/>
        <family val="2"/>
        <scheme val="minor"/>
      </rPr>
      <t>]</t>
    </r>
  </si>
  <si>
    <r>
      <t>Classes [</t>
    </r>
    <r>
      <rPr>
        <i/>
        <sz val="10"/>
        <color rgb="FF0070C0"/>
        <rFont val="Calibri"/>
        <family val="2"/>
        <scheme val="minor"/>
      </rPr>
      <t>basic syntax, inheritance, overriding, mixins</t>
    </r>
    <r>
      <rPr>
        <sz val="10"/>
        <color theme="1"/>
        <rFont val="Calibri"/>
        <family val="2"/>
        <scheme val="minor"/>
      </rPr>
      <t>]</t>
    </r>
  </si>
  <si>
    <r>
      <t>Error Handling [</t>
    </r>
    <r>
      <rPr>
        <i/>
        <sz val="10"/>
        <color rgb="FF0070C0"/>
        <rFont val="Calibri"/>
        <family val="2"/>
        <scheme val="minor"/>
      </rPr>
      <t>try..catch..finally syntax, throw operator, Error, custom errors</t>
    </r>
    <r>
      <rPr>
        <sz val="10"/>
        <color theme="1"/>
        <rFont val="Calibri"/>
        <family val="2"/>
        <scheme val="minor"/>
      </rPr>
      <t>]</t>
    </r>
  </si>
  <si>
    <t>0,0 - 0,7</t>
  </si>
  <si>
    <r>
      <t>Collections [</t>
    </r>
    <r>
      <rPr>
        <i/>
        <sz val="10"/>
        <color rgb="FF0070C0"/>
        <rFont val="Calibri"/>
        <family val="2"/>
        <scheme val="minor"/>
      </rPr>
      <t xml:space="preserve">Map, Set, WeakMap, WeakSet </t>
    </r>
    <r>
      <rPr>
        <sz val="10"/>
        <rFont val="Calibri"/>
        <family val="2"/>
        <scheme val="minor"/>
      </rPr>
      <t>|</t>
    </r>
    <r>
      <rPr>
        <i/>
        <sz val="10"/>
        <color rgb="FF0070C0"/>
        <rFont val="Calibri"/>
        <family val="2"/>
        <scheme val="minor"/>
      </rPr>
      <t xml:space="preserve"> garbage collection</t>
    </r>
    <r>
      <rPr>
        <sz val="10"/>
        <color theme="1"/>
        <rFont val="Calibri"/>
        <family val="2"/>
        <scheme val="minor"/>
      </rPr>
      <t>]</t>
    </r>
  </si>
  <si>
    <r>
      <t>Prototypal Inheritance [</t>
    </r>
    <r>
      <rPr>
        <i/>
        <sz val="10"/>
        <color rgb="FF0070C0"/>
        <rFont val="Calibri"/>
        <family val="2"/>
        <scheme val="minor"/>
      </rPr>
      <t xml:space="preserve">F.prototype, __proto__, [[Prototype]] </t>
    </r>
    <r>
      <rPr>
        <sz val="10"/>
        <rFont val="Calibri"/>
        <family val="2"/>
        <scheme val="minor"/>
      </rPr>
      <t>|</t>
    </r>
    <r>
      <rPr>
        <i/>
        <sz val="10"/>
        <color rgb="FF0070C0"/>
        <rFont val="Calibri"/>
        <family val="2"/>
        <scheme val="minor"/>
      </rPr>
      <t xml:space="preserve"> Object.create() </t>
    </r>
    <r>
      <rPr>
        <sz val="10"/>
        <rFont val="Calibri"/>
        <family val="2"/>
        <scheme val="minor"/>
      </rPr>
      <t>|</t>
    </r>
    <r>
      <rPr>
        <i/>
        <sz val="10"/>
        <color rgb="FF0070C0"/>
        <rFont val="Calibri"/>
        <family val="2"/>
        <scheme val="minor"/>
      </rPr>
      <t xml:space="preserve"> instanceof operator </t>
    </r>
    <r>
      <rPr>
        <sz val="10"/>
        <rFont val="Calibri"/>
        <family val="2"/>
        <scheme val="minor"/>
      </rPr>
      <t>|</t>
    </r>
    <r>
      <rPr>
        <i/>
        <sz val="10"/>
        <color rgb="FF0070C0"/>
        <rFont val="Calibri"/>
        <family val="2"/>
        <scheme val="minor"/>
      </rPr>
      <t xml:space="preserve"> for..in loop</t>
    </r>
    <r>
      <rPr>
        <sz val="10"/>
        <color theme="1"/>
        <rFont val="Calibri"/>
        <family val="2"/>
        <scheme val="minor"/>
      </rPr>
      <t>]</t>
    </r>
  </si>
  <si>
    <r>
      <t>Arrays [</t>
    </r>
    <r>
      <rPr>
        <i/>
        <sz val="10"/>
        <color rgb="FF0070C0"/>
        <rFont val="Calibri"/>
        <family val="2"/>
        <scheme val="minor"/>
      </rPr>
      <t>creation, length, array methods, static methods, array destructuring</t>
    </r>
    <r>
      <rPr>
        <sz val="10"/>
        <color theme="1"/>
        <rFont val="Calibri"/>
        <family val="2"/>
        <scheme val="minor"/>
      </rPr>
      <t>]</t>
    </r>
  </si>
  <si>
    <r>
      <t>Data Types [</t>
    </r>
    <r>
      <rPr>
        <i/>
        <sz val="10"/>
        <color rgb="FF0070C0"/>
        <rFont val="Calibri"/>
        <family val="2"/>
        <scheme val="minor"/>
      </rPr>
      <t>string, number, boolean, null, undefined, object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typeof operator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literals</t>
    </r>
    <r>
      <rPr>
        <sz val="10"/>
        <color theme="1"/>
        <rFont val="Calibri"/>
        <family val="2"/>
        <scheme val="minor"/>
      </rPr>
      <t>], Declarations [</t>
    </r>
    <r>
      <rPr>
        <i/>
        <sz val="10"/>
        <color rgb="FF0070C0"/>
        <rFont val="Calibri"/>
        <family val="2"/>
        <scheme val="minor"/>
      </rPr>
      <t>var, let, const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scope, hoisting, temporal dead zone</t>
    </r>
    <r>
      <rPr>
        <sz val="10"/>
        <color theme="1"/>
        <rFont val="Calibri"/>
        <family val="2"/>
        <scheme val="minor"/>
      </rPr>
      <t>]</t>
    </r>
  </si>
  <si>
    <r>
      <t>Objects [</t>
    </r>
    <r>
      <rPr>
        <i/>
        <sz val="10"/>
        <color rgb="FF0070C0"/>
        <rFont val="Calibri"/>
        <family val="2"/>
        <scheme val="minor"/>
      </rPr>
      <t>deep/shallow copying, property descriptors, static methods</t>
    </r>
    <r>
      <rPr>
        <sz val="10"/>
        <color theme="1"/>
        <rFont val="Calibri"/>
        <family val="2"/>
        <scheme val="minor"/>
      </rPr>
      <t>]</t>
    </r>
  </si>
  <si>
    <r>
      <t>Iterators [</t>
    </r>
    <r>
      <rPr>
        <i/>
        <sz val="10"/>
        <color rgb="FF0070C0"/>
        <rFont val="Calibri"/>
        <family val="2"/>
        <scheme val="minor"/>
      </rPr>
      <t>iterables, [Symbol.iterator]()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for..of loop</t>
    </r>
    <r>
      <rPr>
        <sz val="10"/>
        <color theme="1"/>
        <rFont val="Calibri"/>
        <family val="2"/>
        <scheme val="minor"/>
      </rPr>
      <t>], Generators [</t>
    </r>
    <r>
      <rPr>
        <i/>
        <sz val="10"/>
        <color rgb="FF0070C0"/>
        <rFont val="Calibri"/>
        <family val="2"/>
        <scheme val="minor"/>
      </rPr>
      <t>function* syntax, next(), yield</t>
    </r>
    <r>
      <rPr>
        <sz val="10"/>
        <color theme="1"/>
        <rFont val="Calibri"/>
        <family val="2"/>
        <scheme val="minor"/>
      </rPr>
      <t>]</t>
    </r>
  </si>
  <si>
    <r>
      <t>Regular Expressions [</t>
    </r>
    <r>
      <rPr>
        <i/>
        <sz val="10"/>
        <color rgb="FF0070C0"/>
        <rFont val="Calibri"/>
        <family val="2"/>
        <scheme val="minor"/>
      </rPr>
      <t>regexp/string methods, flags, character classes, assertions, escaping, sets, ranges, quantifiers, wildcard, greedy/lazy search, capturing groups</t>
    </r>
    <r>
      <rPr>
        <sz val="10"/>
        <color theme="1"/>
        <rFont val="Calibri"/>
        <family val="2"/>
        <scheme val="minor"/>
      </rPr>
      <t>]</t>
    </r>
  </si>
  <si>
    <r>
      <t>Objects [</t>
    </r>
    <r>
      <rPr>
        <i/>
        <sz val="10"/>
        <color rgb="FF0070C0"/>
        <rFont val="Calibri"/>
        <family val="2"/>
        <scheme val="minor"/>
      </rPr>
      <t>creation, managing properties (accessing, enumerating, deleting), getters/setters, optional chaining, object destructuring</t>
    </r>
    <r>
      <rPr>
        <sz val="10"/>
        <color theme="1"/>
        <rFont val="Calibri"/>
        <family val="2"/>
        <scheme val="minor"/>
      </rPr>
      <t>]</t>
    </r>
  </si>
  <si>
    <r>
      <t>Async [</t>
    </r>
    <r>
      <rPr>
        <i/>
        <sz val="10"/>
        <color rgb="FF0070C0"/>
        <rFont val="Calibri"/>
        <family val="2"/>
        <scheme val="minor"/>
      </rPr>
      <t>timers, Promise (phases, static methods), async/await</t>
    </r>
    <r>
      <rPr>
        <sz val="10"/>
        <color theme="1"/>
        <rFont val="Calibri"/>
        <family val="2"/>
        <scheme val="minor"/>
      </rPr>
      <t>]</t>
    </r>
  </si>
  <si>
    <r>
      <t>Data Types [</t>
    </r>
    <r>
      <rPr>
        <i/>
        <sz val="10"/>
        <color rgb="FF0070C0"/>
        <rFont val="Calibri"/>
        <family val="2"/>
        <scheme val="minor"/>
      </rPr>
      <t>number literals (binary, octal, decimal, hexademical, exponentiation), numerical constants, bigint, symbol (global, system)</t>
    </r>
    <r>
      <rPr>
        <sz val="10"/>
        <color theme="1"/>
        <rFont val="Calibri"/>
        <family val="2"/>
        <scheme val="minor"/>
      </rPr>
      <t>]</t>
    </r>
  </si>
  <si>
    <r>
      <t>Functions [</t>
    </r>
    <r>
      <rPr>
        <i/>
        <sz val="10"/>
        <color rgb="FF0070C0"/>
        <rFont val="Calibri"/>
        <family val="2"/>
        <scheme val="minor"/>
      </rPr>
      <t>Function Declaration, Function Expression, Arrow Function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default parameters, rest parameters</t>
    </r>
    <r>
      <rPr>
        <sz val="10"/>
        <color theme="1"/>
        <rFont val="Calibri"/>
        <family val="2"/>
        <scheme val="minor"/>
      </rPr>
      <t>]</t>
    </r>
  </si>
  <si>
    <r>
      <t>Browser Object Model [</t>
    </r>
    <r>
      <rPr>
        <i/>
        <sz val="10"/>
        <color rgb="FF0070C0"/>
        <rFont val="Calibri"/>
        <family val="2"/>
        <scheme val="minor"/>
      </rPr>
      <t>location, history, navigator, screen</t>
    </r>
    <r>
      <rPr>
        <sz val="10"/>
        <color theme="1"/>
        <rFont val="Calibri"/>
        <family val="2"/>
        <scheme val="minor"/>
      </rPr>
      <t>]</t>
    </r>
  </si>
  <si>
    <r>
      <t>Document Object Model [</t>
    </r>
    <r>
      <rPr>
        <i/>
        <sz val="10"/>
        <color rgb="FF0070C0"/>
        <rFont val="Calibri"/>
        <family val="2"/>
        <scheme val="minor"/>
      </rPr>
      <t>nodes (creation, insertion, removal, navigation, search)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collections (static, live)</t>
    </r>
    <r>
      <rPr>
        <sz val="10"/>
        <color theme="1"/>
        <rFont val="Calibri"/>
        <family val="2"/>
        <scheme val="minor"/>
      </rPr>
      <t>]</t>
    </r>
  </si>
  <si>
    <r>
      <t>Nodes Modification [</t>
    </r>
    <r>
      <rPr>
        <i/>
        <sz val="10"/>
        <color rgb="FF0070C0"/>
        <rFont val="Calibri"/>
        <family val="2"/>
        <scheme val="minor"/>
      </rPr>
      <t>properties, attributes, data attributes, css scripting</t>
    </r>
    <r>
      <rPr>
        <sz val="10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getComputedStyle()</t>
    </r>
    <r>
      <rPr>
        <sz val="10"/>
        <color theme="1"/>
        <rFont val="Calibri"/>
        <family val="2"/>
        <scheme val="minor"/>
      </rPr>
      <t>]</t>
    </r>
  </si>
  <si>
    <r>
      <t>Events [</t>
    </r>
    <r>
      <rPr>
        <i/>
        <sz val="10"/>
        <color rgb="FF0070C0"/>
        <rFont val="Calibri"/>
        <family val="2"/>
        <scheme val="minor"/>
      </rPr>
      <t>types (mouse, keyboard, form/control, page load/unload), custom events, handling (phases, listeners, propagation, delegation)</t>
    </r>
    <r>
      <rPr>
        <sz val="10"/>
        <color theme="1"/>
        <rFont val="Calibri"/>
        <family val="2"/>
        <scheme val="minor"/>
      </rPr>
      <t>]</t>
    </r>
  </si>
  <si>
    <r>
      <t>Web Storage [</t>
    </r>
    <r>
      <rPr>
        <i/>
        <sz val="10"/>
        <color rgb="FF0070C0"/>
        <rFont val="Calibri"/>
        <family val="2"/>
        <scheme val="minor"/>
      </rPr>
      <t>cookies, sessionStorage, localStorage, indexedDB</t>
    </r>
    <r>
      <rPr>
        <sz val="10"/>
        <color theme="1"/>
        <rFont val="Calibri"/>
        <family val="2"/>
        <scheme val="minor"/>
      </rPr>
      <t>]</t>
    </r>
  </si>
  <si>
    <r>
      <t>Network [</t>
    </r>
    <r>
      <rPr>
        <i/>
        <sz val="10"/>
        <color rgb="FF0070C0"/>
        <rFont val="Calibri"/>
        <family val="2"/>
        <scheme val="minor"/>
      </rPr>
      <t>HTTP versions (1.1, 2.0, 3.0), HTTPS, cache policy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WebSocket, short/long polling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REST, GraphQL</t>
    </r>
    <r>
      <rPr>
        <sz val="10"/>
        <color theme="1"/>
        <rFont val="Calibri"/>
        <family val="2"/>
        <scheme val="minor"/>
      </rPr>
      <t>]</t>
    </r>
  </si>
  <si>
    <r>
      <t>Performance [</t>
    </r>
    <r>
      <rPr>
        <i/>
        <sz val="10"/>
        <color rgb="FF0070C0"/>
        <rFont val="Calibri"/>
        <family val="2"/>
        <scheme val="minor"/>
      </rPr>
      <t>Critical Rendering Path (parse, render, layout, paint, compose), Web Vitals (TTFB, FCP, LCP, INP), optimizations</t>
    </r>
    <r>
      <rPr>
        <sz val="10"/>
        <color theme="1"/>
        <rFont val="Calibri"/>
        <family val="2"/>
        <scheme val="minor"/>
      </rPr>
      <t>]</t>
    </r>
  </si>
  <si>
    <r>
      <t>Observers [</t>
    </r>
    <r>
      <rPr>
        <i/>
        <sz val="10"/>
        <color rgb="FF0070C0"/>
        <rFont val="Calibri"/>
        <family val="2"/>
        <scheme val="minor"/>
      </rPr>
      <t>Intersection Observer, Resize Observer, Mutation Observer, Performance observer</t>
    </r>
    <r>
      <rPr>
        <sz val="10"/>
        <color theme="1"/>
        <rFont val="Calibri"/>
        <family val="2"/>
        <scheme val="minor"/>
      </rPr>
      <t>], DOM Rendering [</t>
    </r>
    <r>
      <rPr>
        <i/>
        <sz val="10"/>
        <color rgb="FF0070C0"/>
        <rFont val="Calibri"/>
        <family val="2"/>
        <scheme val="minor"/>
      </rPr>
      <t>Shadow DOM, Virtual DOM, Incremental DOM</t>
    </r>
    <r>
      <rPr>
        <sz val="10"/>
        <color theme="1"/>
        <rFont val="Calibri"/>
        <family val="2"/>
        <scheme val="minor"/>
      </rPr>
      <t>]</t>
    </r>
  </si>
  <si>
    <r>
      <t>Cross-Domain Communication [</t>
    </r>
    <r>
      <rPr>
        <i/>
        <sz val="10"/>
        <color rgb="FF0070C0"/>
        <rFont val="Calibri"/>
        <family val="2"/>
        <scheme val="minor"/>
      </rPr>
      <t>SOA, CORS (headers, simple/preflight request), iFrame</t>
    </r>
    <r>
      <rPr>
        <sz val="10"/>
        <color theme="1"/>
        <rFont val="Calibri"/>
        <family val="2"/>
        <scheme val="minor"/>
      </rPr>
      <t>]</t>
    </r>
  </si>
  <si>
    <r>
      <t>Web Security [</t>
    </r>
    <r>
      <rPr>
        <i/>
        <sz val="10"/>
        <color rgb="FF0070C0"/>
        <rFont val="Calibri"/>
        <family val="2"/>
        <scheme val="minor"/>
      </rPr>
      <t>OWASP, vulnerabilities (SQL injection, XSS, CSRF, clickjacking), CSP</t>
    </r>
    <r>
      <rPr>
        <sz val="10"/>
        <color theme="1"/>
        <rFont val="Calibri"/>
        <family val="2"/>
        <scheme val="minor"/>
      </rPr>
      <t>]</t>
    </r>
  </si>
  <si>
    <r>
      <t>Authentication [</t>
    </r>
    <r>
      <rPr>
        <i/>
        <sz val="10"/>
        <color rgb="FF0070C0"/>
        <rFont val="Calibri"/>
        <family val="2"/>
        <scheme val="minor"/>
      </rPr>
      <t>basic, token, cookies, JWT, OAuth 2.0, OpenID Connect, SSO</t>
    </r>
    <r>
      <rPr>
        <sz val="10"/>
        <color theme="1"/>
        <rFont val="Calibri"/>
        <family val="2"/>
        <scheme val="minor"/>
      </rPr>
      <t>]</t>
    </r>
  </si>
  <si>
    <r>
      <t>Multithreading [</t>
    </r>
    <r>
      <rPr>
        <i/>
        <sz val="10"/>
        <color rgb="FF0070C0"/>
        <rFont val="Calibri"/>
        <family val="2"/>
        <scheme val="minor"/>
      </rPr>
      <t>Web Workers, Shared Workers</t>
    </r>
    <r>
      <rPr>
        <sz val="10"/>
        <color theme="1"/>
        <rFont val="Calibri"/>
        <family val="2"/>
        <scheme val="minor"/>
      </rPr>
      <t>], Meta Programming [</t>
    </r>
    <r>
      <rPr>
        <i/>
        <sz val="10"/>
        <color rgb="FF0070C0"/>
        <rFont val="Calibri"/>
        <family val="2"/>
        <scheme val="minor"/>
      </rPr>
      <t>Proxy, Reflect</t>
    </r>
    <r>
      <rPr>
        <sz val="10"/>
        <color theme="1"/>
        <rFont val="Calibri"/>
        <family val="2"/>
        <scheme val="minor"/>
      </rPr>
      <t>]</t>
    </r>
  </si>
  <si>
    <r>
      <t>Async [</t>
    </r>
    <r>
      <rPr>
        <i/>
        <sz val="10"/>
        <color rgb="FF0070C0"/>
        <rFont val="Calibri"/>
        <family val="2"/>
        <scheme val="minor"/>
      </rPr>
      <t>Event Loop, queues, requestAnimationFrame()</t>
    </r>
    <r>
      <rPr>
        <sz val="10"/>
        <color theme="1"/>
        <rFont val="Calibri"/>
        <family val="2"/>
        <scheme val="minor"/>
      </rPr>
      <t>]</t>
    </r>
  </si>
  <si>
    <r>
      <t>Closures [</t>
    </r>
    <r>
      <rPr>
        <i/>
        <sz val="10"/>
        <color rgb="FF0070C0"/>
        <rFont val="Calibri"/>
        <family val="2"/>
        <scheme val="minor"/>
      </rPr>
      <t>nested functions, Lexical Environment, [[Environment]]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new Function()</t>
    </r>
    <r>
      <rPr>
        <sz val="10"/>
        <color theme="1"/>
        <rFont val="Calibri"/>
        <family val="2"/>
        <scheme val="minor"/>
      </rPr>
      <t>], Strict Mode [</t>
    </r>
    <r>
      <rPr>
        <i/>
        <sz val="10"/>
        <color rgb="FF0070C0"/>
        <rFont val="Calibri"/>
        <family val="2"/>
        <scheme val="minor"/>
      </rPr>
      <t>activation, limitations</t>
    </r>
    <r>
      <rPr>
        <sz val="10"/>
        <color theme="1"/>
        <rFont val="Calibri"/>
        <family val="2"/>
        <scheme val="minor"/>
      </rPr>
      <t>]</t>
    </r>
  </si>
  <si>
    <r>
      <t>Functions [</t>
    </r>
    <r>
      <rPr>
        <i/>
        <sz val="10"/>
        <color rgb="FF0070C0"/>
        <rFont val="Calibri"/>
        <family val="2"/>
        <scheme val="minor"/>
      </rPr>
      <t>IIFE, Named Function Expression, recursion, arguments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context (this, call, apply, bind)</t>
    </r>
    <r>
      <rPr>
        <sz val="10"/>
        <color theme="1"/>
        <rFont val="Calibri"/>
        <family val="2"/>
        <scheme val="minor"/>
      </rPr>
      <t>]</t>
    </r>
  </si>
  <si>
    <r>
      <t>Fetch API [</t>
    </r>
    <r>
      <rPr>
        <i/>
        <sz val="10"/>
        <color rgb="FF0070C0"/>
        <rFont val="Calibri"/>
        <family val="2"/>
        <scheme val="minor"/>
      </rPr>
      <t>request (creation, cancelling, handling)</t>
    </r>
    <r>
      <rPr>
        <sz val="10"/>
        <color theme="1"/>
        <rFont val="Calibri"/>
        <family val="2"/>
        <scheme val="minor"/>
      </rPr>
      <t xml:space="preserve"> | </t>
    </r>
    <r>
      <rPr>
        <i/>
        <sz val="10"/>
        <color rgb="FF0070C0"/>
        <rFont val="Calibri"/>
        <family val="2"/>
        <scheme val="minor"/>
      </rPr>
      <t>AbortController</t>
    </r>
    <r>
      <rPr>
        <sz val="10"/>
        <color theme="1"/>
        <rFont val="Calibri"/>
        <family val="2"/>
        <scheme val="minor"/>
      </rPr>
      <t>]</t>
    </r>
  </si>
  <si>
    <t>1,8 - 2,0</t>
  </si>
  <si>
    <t>1,4 - 1,7</t>
  </si>
  <si>
    <t>0,8 - 1,3</t>
  </si>
  <si>
    <r>
      <t>Operators [</t>
    </r>
    <r>
      <rPr>
        <i/>
        <sz val="10"/>
        <color rgb="FF0070C0"/>
        <rFont val="Calibri"/>
        <family val="2"/>
        <scheme val="minor"/>
      </rPr>
      <t>assignment, comparison, arithmetic, logical</t>
    </r>
    <r>
      <rPr>
        <sz val="10"/>
        <color theme="1"/>
        <rFont val="Calibri"/>
        <family val="2"/>
        <scheme val="minor"/>
      </rPr>
      <t>], Statements [</t>
    </r>
    <r>
      <rPr>
        <i/>
        <sz val="10"/>
        <color rgb="FF0070C0"/>
        <rFont val="Calibri"/>
        <family val="2"/>
        <scheme val="minor"/>
      </rPr>
      <t>block, conditional, loops</t>
    </r>
    <r>
      <rPr>
        <sz val="10"/>
        <color theme="1"/>
        <rFont val="Calibri"/>
        <family val="2"/>
        <scheme val="minor"/>
      </rPr>
      <t>]</t>
    </r>
  </si>
  <si>
    <t>II</t>
  </si>
  <si>
    <t>III</t>
  </si>
  <si>
    <t>IV</t>
  </si>
  <si>
    <r>
      <t>Offline Mode [</t>
    </r>
    <r>
      <rPr>
        <i/>
        <sz val="10"/>
        <color rgb="FF0070C0"/>
        <rFont val="Calibri"/>
        <family val="2"/>
        <scheme val="minor"/>
      </rPr>
      <t>PWA, Service Workers (creation, lifecycle, limitations), Cache API, caching strategies</t>
    </r>
    <r>
      <rPr>
        <sz val="10"/>
        <color theme="1"/>
        <rFont val="Calibri"/>
        <family val="2"/>
        <scheme val="minor"/>
      </rPr>
      <t>]</t>
    </r>
  </si>
  <si>
    <r>
      <t>Operators [</t>
    </r>
    <r>
      <rPr>
        <i/>
        <sz val="10"/>
        <color rgb="FF0070C0"/>
        <rFont val="Calibri"/>
        <family val="2"/>
        <scheme val="minor"/>
      </rPr>
      <t>unary, ternary, bitwise</t>
    </r>
    <r>
      <rPr>
        <sz val="10"/>
        <rFont val="Calibri (Body)"/>
      </rPr>
      <t xml:space="preserve"> | </t>
    </r>
    <r>
      <rPr>
        <i/>
        <sz val="10"/>
        <color rgb="FF0070C0"/>
        <rFont val="Calibri"/>
        <family val="2"/>
        <scheme val="minor"/>
      </rPr>
      <t xml:space="preserve">in, instanceof </t>
    </r>
    <r>
      <rPr>
        <sz val="10"/>
        <color theme="1"/>
        <rFont val="Calibri"/>
        <family val="2"/>
        <scheme val="minor"/>
      </rPr>
      <t xml:space="preserve">| </t>
    </r>
    <r>
      <rPr>
        <i/>
        <sz val="10"/>
        <color rgb="FF0070C0"/>
        <rFont val="Calibri"/>
        <family val="2"/>
        <scheme val="minor"/>
      </rPr>
      <t>nullish coalescing operator</t>
    </r>
    <r>
      <rPr>
        <sz val="10"/>
        <color theme="1"/>
        <rFont val="Calibri"/>
        <family val="2"/>
        <scheme val="minor"/>
      </rPr>
      <t>], Auto Type Conversion [</t>
    </r>
    <r>
      <rPr>
        <i/>
        <sz val="10"/>
        <color rgb="FF0070C0"/>
        <rFont val="Calibri"/>
        <family val="2"/>
        <scheme val="minor"/>
      </rPr>
      <t>basic conversion, object-to-primitive conversion,  [Symbol.toPrimitive](hint)</t>
    </r>
    <r>
      <rPr>
        <sz val="10"/>
        <color theme="1"/>
        <rFont val="Calibri"/>
        <family val="2"/>
        <scheme val="minor"/>
      </rPr>
      <t>]</t>
    </r>
  </si>
  <si>
    <t>Required knowledge</t>
  </si>
  <si>
    <t>Estimated knowledge</t>
  </si>
  <si>
    <t>Not set</t>
  </si>
  <si>
    <t>Asked knowledge</t>
  </si>
  <si>
    <t>version 3.0.0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</si>
</sst>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;;;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+mn-lt"/>
      <charset val="1"/>
    </font>
    <font>
      <sz val="10"/>
      <color rgb="FF000000"/>
      <name val="+mn-lt"/>
      <charset val="1"/>
    </font>
    <font>
      <sz val="1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</fills>
  <borders count="6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1" fillId="3" borderId="49" xfId="0" applyFont="1" applyFill="1" applyBorder="1" applyAlignment="1" applyProtection="1">
      <alignment horizontal="left" vertical="center" wrapText="1"/>
      <protection locked="0"/>
    </xf>
    <xf numFmtId="0" fontId="11" fillId="3" borderId="24" xfId="0" applyFont="1" applyFill="1" applyBorder="1" applyAlignment="1" applyProtection="1">
      <alignment horizontal="left" vertical="center" wrapText="1"/>
      <protection locked="0"/>
    </xf>
    <xf numFmtId="0" fontId="11" fillId="3" borderId="22" xfId="0" applyFont="1" applyFill="1" applyBorder="1" applyAlignment="1" applyProtection="1">
      <alignment horizontal="left" vertical="center" wrapText="1"/>
      <protection locked="0"/>
    </xf>
    <xf numFmtId="0" fontId="11" fillId="3" borderId="50" xfId="0" applyFont="1" applyFill="1" applyBorder="1" applyAlignment="1" applyProtection="1">
      <alignment horizontal="left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9" xfId="0" applyFont="1" applyBorder="1" applyAlignment="1" applyProtection="1">
      <alignment horizontal="center" vertical="center" wrapText="1"/>
      <protection locked="0"/>
    </xf>
    <xf numFmtId="0" fontId="3" fillId="0" borderId="50" xfId="0" applyFont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165" fontId="9" fillId="4" borderId="0" xfId="0" applyNumberFormat="1" applyFont="1" applyFill="1" applyAlignment="1">
      <alignment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64" fontId="3" fillId="8" borderId="29" xfId="0" applyNumberFormat="1" applyFont="1" applyFill="1" applyBorder="1" applyAlignment="1">
      <alignment horizontal="center" vertical="center" wrapText="1"/>
    </xf>
    <xf numFmtId="164" fontId="3" fillId="7" borderId="36" xfId="0" applyNumberFormat="1" applyFont="1" applyFill="1" applyBorder="1" applyAlignment="1">
      <alignment horizontal="center" vertical="center" wrapText="1"/>
    </xf>
    <xf numFmtId="164" fontId="3" fillId="6" borderId="37" xfId="0" applyNumberFormat="1" applyFont="1" applyFill="1" applyBorder="1" applyAlignment="1">
      <alignment horizontal="center" vertical="center" wrapText="1"/>
    </xf>
    <xf numFmtId="164" fontId="3" fillId="5" borderId="31" xfId="0" applyNumberFormat="1" applyFont="1" applyFill="1" applyBorder="1" applyAlignment="1">
      <alignment horizontal="center" vertical="center" wrapText="1"/>
    </xf>
    <xf numFmtId="1" fontId="3" fillId="2" borderId="28" xfId="0" applyNumberFormat="1" applyFont="1" applyFill="1" applyBorder="1" applyAlignment="1">
      <alignment horizontal="center" vertical="center" wrapText="1"/>
    </xf>
    <xf numFmtId="1" fontId="3" fillId="2" borderId="36" xfId="0" applyNumberFormat="1" applyFont="1" applyFill="1" applyBorder="1" applyAlignment="1">
      <alignment horizontal="center" vertical="center" wrapText="1"/>
    </xf>
    <xf numFmtId="1" fontId="3" fillId="2" borderId="37" xfId="0" applyNumberFormat="1" applyFont="1" applyFill="1" applyBorder="1" applyAlignment="1">
      <alignment horizontal="center" vertical="center" wrapText="1"/>
    </xf>
    <xf numFmtId="1" fontId="3" fillId="2" borderId="27" xfId="0" applyNumberFormat="1" applyFont="1" applyFill="1" applyBorder="1" applyAlignment="1">
      <alignment horizontal="center" vertical="center" wrapText="1"/>
    </xf>
    <xf numFmtId="164" fontId="3" fillId="7" borderId="28" xfId="0" applyNumberFormat="1" applyFont="1" applyFill="1" applyBorder="1" applyAlignment="1">
      <alignment horizontal="center" vertical="center" wrapText="1"/>
    </xf>
    <xf numFmtId="164" fontId="3" fillId="8" borderId="36" xfId="0" applyNumberFormat="1" applyFont="1" applyFill="1" applyBorder="1" applyAlignment="1">
      <alignment horizontal="center" vertical="center" wrapText="1"/>
    </xf>
    <xf numFmtId="164" fontId="3" fillId="6" borderId="27" xfId="0" applyNumberFormat="1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1" fontId="3" fillId="4" borderId="37" xfId="0" applyNumberFormat="1" applyFont="1" applyFill="1" applyBorder="1" applyAlignment="1">
      <alignment horizontal="center" vertical="center" wrapText="1"/>
    </xf>
    <xf numFmtId="1" fontId="3" fillId="4" borderId="27" xfId="0" applyNumberFormat="1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3" fillId="5" borderId="28" xfId="0" applyNumberFormat="1" applyFont="1" applyFill="1" applyBorder="1" applyAlignment="1">
      <alignment horizontal="center" vertical="center" wrapText="1"/>
    </xf>
    <xf numFmtId="164" fontId="3" fillId="6" borderId="36" xfId="0" applyNumberFormat="1" applyFont="1" applyFill="1" applyBorder="1" applyAlignment="1">
      <alignment horizontal="center" vertical="center" wrapText="1"/>
    </xf>
    <xf numFmtId="164" fontId="3" fillId="7" borderId="27" xfId="0" applyNumberFormat="1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vertical="center" wrapText="1"/>
    </xf>
    <xf numFmtId="164" fontId="3" fillId="5" borderId="36" xfId="0" applyNumberFormat="1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1" fontId="3" fillId="2" borderId="26" xfId="0" applyNumberFormat="1" applyFont="1" applyFill="1" applyBorder="1" applyAlignment="1">
      <alignment horizontal="center" vertical="center" wrapText="1"/>
    </xf>
    <xf numFmtId="1" fontId="3" fillId="2" borderId="38" xfId="0" applyNumberFormat="1" applyFont="1" applyFill="1" applyBorder="1" applyAlignment="1">
      <alignment horizontal="center" vertical="center" wrapText="1"/>
    </xf>
    <xf numFmtId="164" fontId="3" fillId="8" borderId="28" xfId="0" applyNumberFormat="1" applyFont="1" applyFill="1" applyBorder="1" applyAlignment="1">
      <alignment horizontal="center" vertical="center" wrapText="1"/>
    </xf>
    <xf numFmtId="164" fontId="3" fillId="5" borderId="27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8" borderId="27" xfId="0" applyNumberFormat="1" applyFont="1" applyFill="1" applyBorder="1" applyAlignment="1">
      <alignment horizontal="center" vertical="center" wrapText="1"/>
    </xf>
    <xf numFmtId="1" fontId="3" fillId="2" borderId="39" xfId="0" applyNumberFormat="1" applyFont="1" applyFill="1" applyBorder="1" applyAlignment="1">
      <alignment horizontal="center" vertical="center" wrapText="1"/>
    </xf>
    <xf numFmtId="1" fontId="3" fillId="2" borderId="41" xfId="0" applyNumberFormat="1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4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165" fontId="10" fillId="4" borderId="3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6" fontId="3" fillId="2" borderId="37" xfId="0" applyNumberFormat="1" applyFont="1" applyFill="1" applyBorder="1" applyAlignment="1">
      <alignment horizontal="center" vertical="center" wrapText="1"/>
    </xf>
    <xf numFmtId="166" fontId="3" fillId="2" borderId="36" xfId="0" applyNumberFormat="1" applyFont="1" applyFill="1" applyBorder="1" applyAlignment="1">
      <alignment horizontal="center" vertical="center" wrapText="1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6" xfId="0" applyNumberFormat="1" applyFont="1" applyFill="1" applyBorder="1" applyAlignment="1">
      <alignment horizontal="center" vertical="center" wrapText="1"/>
    </xf>
    <xf numFmtId="166" fontId="3" fillId="4" borderId="37" xfId="0" applyNumberFormat="1" applyFont="1" applyFill="1" applyBorder="1" applyAlignment="1">
      <alignment vertical="center" wrapText="1"/>
    </xf>
    <xf numFmtId="166" fontId="3" fillId="4" borderId="36" xfId="0" applyNumberFormat="1" applyFont="1" applyFill="1" applyBorder="1" applyAlignment="1">
      <alignment vertical="center" wrapText="1"/>
    </xf>
    <xf numFmtId="166" fontId="3" fillId="2" borderId="46" xfId="0" applyNumberFormat="1" applyFont="1" applyFill="1" applyBorder="1" applyAlignment="1">
      <alignment horizontal="center" vertical="center" wrapText="1"/>
    </xf>
    <xf numFmtId="166" fontId="3" fillId="2" borderId="40" xfId="0" applyNumberFormat="1" applyFont="1" applyFill="1" applyBorder="1" applyAlignment="1">
      <alignment horizontal="center" vertical="center" wrapText="1"/>
    </xf>
    <xf numFmtId="166" fontId="3" fillId="2" borderId="66" xfId="0" applyNumberFormat="1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right" vertical="center"/>
    </xf>
    <xf numFmtId="9" fontId="8" fillId="2" borderId="19" xfId="0" applyNumberFormat="1" applyFont="1" applyFill="1" applyBorder="1" applyAlignment="1">
      <alignment horizontal="center" vertical="center" wrapText="1"/>
    </xf>
    <xf numFmtId="9" fontId="8" fillId="2" borderId="22" xfId="0" applyNumberFormat="1" applyFont="1" applyFill="1" applyBorder="1" applyAlignment="1">
      <alignment horizontal="center" vertical="center" wrapText="1"/>
    </xf>
    <xf numFmtId="9" fontId="8" fillId="2" borderId="21" xfId="0" applyNumberFormat="1" applyFont="1" applyFill="1" applyBorder="1" applyAlignment="1">
      <alignment horizontal="center" vertical="center" wrapText="1"/>
    </xf>
    <xf numFmtId="9" fontId="8" fillId="2" borderId="20" xfId="0" applyNumberFormat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165" fontId="9" fillId="2" borderId="15" xfId="0" applyNumberFormat="1" applyFont="1" applyFill="1" applyBorder="1" applyAlignment="1">
      <alignment horizontal="center" vertical="center" wrapText="1"/>
    </xf>
    <xf numFmtId="165" fontId="9" fillId="2" borderId="60" xfId="0" applyNumberFormat="1" applyFont="1" applyFill="1" applyBorder="1" applyAlignment="1">
      <alignment horizontal="center" vertical="center" wrapText="1"/>
    </xf>
    <xf numFmtId="165" fontId="10" fillId="2" borderId="61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65" fontId="10" fillId="2" borderId="64" xfId="0" applyNumberFormat="1" applyFont="1" applyFill="1" applyBorder="1" applyAlignment="1">
      <alignment horizontal="center" vertical="center" wrapText="1"/>
    </xf>
    <xf numFmtId="165" fontId="10" fillId="2" borderId="62" xfId="0" applyNumberFormat="1" applyFont="1" applyFill="1" applyBorder="1" applyAlignment="1">
      <alignment horizontal="center"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165" fontId="10" fillId="2" borderId="18" xfId="0" applyNumberFormat="1" applyFont="1" applyFill="1" applyBorder="1" applyAlignment="1">
      <alignment horizontal="center" vertical="center" wrapText="1"/>
    </xf>
    <xf numFmtId="165" fontId="9" fillId="2" borderId="23" xfId="0" applyNumberFormat="1" applyFont="1" applyFill="1" applyBorder="1" applyAlignment="1">
      <alignment horizontal="center" vertical="center" wrapText="1"/>
    </xf>
    <xf numFmtId="165" fontId="9" fillId="2" borderId="16" xfId="0" applyNumberFormat="1" applyFont="1" applyFill="1" applyBorder="1" applyAlignment="1">
      <alignment horizontal="center" vertical="center" wrapText="1"/>
    </xf>
    <xf numFmtId="165" fontId="9" fillId="2" borderId="67" xfId="0" applyNumberFormat="1" applyFont="1" applyFill="1" applyBorder="1" applyAlignment="1">
      <alignment horizontal="center" vertical="center" wrapText="1"/>
    </xf>
    <xf numFmtId="165" fontId="9" fillId="2" borderId="17" xfId="0" applyNumberFormat="1" applyFont="1" applyFill="1" applyBorder="1" applyAlignment="1">
      <alignment horizontal="center" vertical="center" wrapText="1"/>
    </xf>
    <xf numFmtId="165" fontId="10" fillId="2" borderId="63" xfId="0" applyNumberFormat="1" applyFont="1" applyFill="1" applyBorder="1" applyAlignment="1">
      <alignment horizontal="center" vertical="center" wrapText="1"/>
    </xf>
    <xf numFmtId="165" fontId="10" fillId="2" borderId="58" xfId="0" applyNumberFormat="1" applyFont="1" applyFill="1" applyBorder="1" applyAlignment="1">
      <alignment horizontal="center" vertical="center" wrapText="1"/>
    </xf>
    <xf numFmtId="165" fontId="9" fillId="2" borderId="57" xfId="0" applyNumberFormat="1" applyFont="1" applyFill="1" applyBorder="1" applyAlignment="1">
      <alignment horizontal="center" vertical="center" wrapText="1"/>
    </xf>
    <xf numFmtId="165" fontId="9" fillId="2" borderId="59" xfId="0" applyNumberFormat="1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4" borderId="47" xfId="0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4" borderId="30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31" xfId="0" applyNumberFormat="1" applyFont="1" applyFill="1" applyBorder="1" applyAlignment="1">
      <alignment horizontal="center" vertical="center" wrapText="1"/>
    </xf>
    <xf numFmtId="166" fontId="3" fillId="4" borderId="54" xfId="0" applyNumberFormat="1" applyFont="1" applyFill="1" applyBorder="1" applyAlignment="1">
      <alignment horizontal="center" vertical="center" wrapText="1"/>
    </xf>
    <xf numFmtId="1" fontId="3" fillId="4" borderId="56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1" fontId="3" fillId="4" borderId="53" xfId="0" applyNumberFormat="1" applyFont="1" applyFill="1" applyBorder="1" applyAlignment="1">
      <alignment horizontal="center" vertical="center" wrapText="1"/>
    </xf>
    <xf numFmtId="1" fontId="3" fillId="4" borderId="48" xfId="0" applyNumberFormat="1" applyFont="1" applyFill="1" applyBorder="1" applyAlignment="1">
      <alignment horizontal="center" vertical="center" wrapText="1"/>
    </xf>
    <xf numFmtId="1" fontId="3" fillId="4" borderId="45" xfId="0" applyNumberFormat="1" applyFont="1" applyFill="1" applyBorder="1" applyAlignment="1">
      <alignment horizontal="center" vertical="center" wrapText="1"/>
    </xf>
    <xf numFmtId="166" fontId="3" fillId="4" borderId="51" xfId="0" applyNumberFormat="1" applyFont="1" applyFill="1" applyBorder="1" applyAlignment="1">
      <alignment horizontal="center" vertical="center" wrapText="1"/>
    </xf>
    <xf numFmtId="166" fontId="3" fillId="4" borderId="52" xfId="0" applyNumberFormat="1" applyFont="1" applyFill="1" applyBorder="1" applyAlignment="1">
      <alignment horizontal="center" vertical="center" wrapText="1"/>
    </xf>
    <xf numFmtId="166" fontId="3" fillId="4" borderId="55" xfId="0" applyNumberFormat="1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4" borderId="32" xfId="0" quotePrefix="1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4" xfId="0" applyFont="1" applyFill="1" applyBorder="1" applyAlignment="1">
      <alignment vertical="center" wrapText="1"/>
    </xf>
    <xf numFmtId="0" fontId="5" fillId="4" borderId="35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right"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12" fillId="4" borderId="33" xfId="0" quotePrefix="1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darkUp">
          <fgColor theme="0" tint="-0.34998626667073579"/>
          <bgColor auto="1"/>
        </patternFill>
      </fill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auto="1"/>
      </font>
      <fill>
        <patternFill patternType="darkUp">
          <fgColor rgb="FFFF0000"/>
          <bgColor auto="1"/>
        </patternFill>
      </fill>
    </dxf>
    <dxf>
      <font>
        <color auto="1"/>
      </font>
      <fill>
        <patternFill patternType="darkUp">
          <fgColor rgb="FFFF0000"/>
          <bgColor auto="1"/>
        </patternFill>
      </fill>
    </dxf>
  </dxfs>
  <tableStyles count="0" defaultTableStyle="TableStyleMedium2" defaultPivotStyle="PivotStyleLight16"/>
  <colors>
    <mruColors>
      <color rgb="FFFF9999"/>
      <color rgb="FFFFCC99"/>
      <color rgb="FFFF9966"/>
      <color rgb="FFFF5050"/>
      <color rgb="FFF2505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B1:BD56"/>
  <sheetViews>
    <sheetView showRowColHeaders="0" tabSelected="1" zoomScale="125" zoomScaleNormal="100" workbookViewId="0">
      <pane ySplit="8" topLeftCell="A15" activePane="bottomLeft" state="frozen"/>
      <selection pane="bottomLeft" activeCell="S11" sqref="S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7.1796875" defaultRowHeight="14.5" customHeight="1" outlineLevelRow="1" outlineLevelCol="1"/>
  <cols>
    <col min="1" max="1" width="1.453125" style="9" customWidth="1"/>
    <col min="2" max="6" width="7.1796875" style="9"/>
    <col min="7" max="8" width="7.1796875" style="9" customWidth="1"/>
    <col min="9" max="11" width="7.1796875" style="9"/>
    <col min="12" max="15" width="5.36328125" style="9" customWidth="1"/>
    <col min="16" max="16" width="1.36328125" style="9" customWidth="1"/>
    <col min="17" max="17" width="10.6328125" style="10" customWidth="1"/>
    <col min="18" max="18" width="1.36328125" style="9" customWidth="1"/>
    <col min="19" max="19" width="10.6328125" style="9" customWidth="1"/>
    <col min="20" max="20" width="1.36328125" style="9" customWidth="1"/>
    <col min="21" max="22" width="5.36328125" style="9" hidden="1" customWidth="1" outlineLevel="1"/>
    <col min="23" max="23" width="7.36328125" style="9" customWidth="1" collapsed="1"/>
    <col min="24" max="25" width="5.36328125" style="9" hidden="1" customWidth="1" outlineLevel="1"/>
    <col min="26" max="26" width="7.36328125" style="9" customWidth="1" collapsed="1"/>
    <col min="27" max="28" width="5.36328125" style="9" hidden="1" customWidth="1" outlineLevel="1"/>
    <col min="29" max="29" width="7.36328125" style="9" customWidth="1" collapsed="1"/>
    <col min="30" max="31" width="5.36328125" style="9" hidden="1" customWidth="1" outlineLevel="1"/>
    <col min="32" max="32" width="7.36328125" style="9" customWidth="1" collapsed="1"/>
    <col min="33" max="33" width="1.36328125" style="9" customWidth="1"/>
    <col min="34" max="34" width="40" style="9" customWidth="1"/>
    <col min="35" max="35" width="1.453125" style="9" customWidth="1"/>
    <col min="36" max="36" width="7.1796875" style="9"/>
    <col min="37" max="37" width="7.1796875" style="9" customWidth="1"/>
    <col min="38" max="16384" width="7.1796875" style="9"/>
  </cols>
  <sheetData>
    <row r="1" spans="2:34" ht="8.5" customHeight="1" thickBot="1">
      <c r="P1" s="10"/>
      <c r="R1" s="10"/>
      <c r="S1" s="10"/>
      <c r="T1" s="10"/>
    </row>
    <row r="2" spans="2:34" ht="14.5" customHeight="1">
      <c r="B2" s="90" t="s">
        <v>4</v>
      </c>
      <c r="C2" s="156"/>
      <c r="D2" s="153" t="s">
        <v>0</v>
      </c>
      <c r="E2" s="154"/>
      <c r="F2" s="155"/>
      <c r="G2" s="11" t="s">
        <v>21</v>
      </c>
      <c r="H2" s="12"/>
      <c r="I2" s="90" t="s">
        <v>13</v>
      </c>
      <c r="J2" s="90"/>
      <c r="K2" s="90"/>
      <c r="L2" s="91">
        <v>0.6</v>
      </c>
      <c r="M2" s="41"/>
      <c r="N2" s="41"/>
      <c r="O2" s="41"/>
      <c r="P2" s="65"/>
      <c r="Q2" s="65"/>
      <c r="R2" s="65"/>
      <c r="S2" s="84" t="s">
        <v>15</v>
      </c>
      <c r="T2" s="85"/>
      <c r="U2" s="115" cm="1">
        <f t="array" ref="U2">SUMPRODUCT(($S$9:$S$51&lt;&gt;"Not set")*(V$9:V$51&gt;0)*($Q$9:$Q$51&gt;=V$9:V$51)*U$9:U$51) / SUMPRODUCT((V$9:V$51&gt;0)*U$9:U$51)</f>
        <v>0</v>
      </c>
      <c r="V2" s="103"/>
      <c r="W2" s="116"/>
      <c r="X2" s="121" cm="1">
        <f t="array" ref="X2">SUMPRODUCT(($S$9:$S$51&lt;&gt;"Not set")*(Y$9:Y$51&gt;0)*($Q$9:$Q$51&gt;=Y$9:Y$51)*X$9:X$51) / SUMPRODUCT((Y$9:Y$51&gt;0)*X$9:X$51)</f>
        <v>0</v>
      </c>
      <c r="Y2" s="103"/>
      <c r="Z2" s="116"/>
      <c r="AA2" s="121" cm="1">
        <f t="array" ref="AA2">SUMPRODUCT(($S$9:$S$51&lt;&gt;"Not set")*(AB$9:AB$51&gt;0)*($Q$9:$Q$51&gt;=AB$9:AB$51)*AA$9:AA$51) / SUMPRODUCT((AB$9:AB$51&gt;0)*AA$9:AA$51)</f>
        <v>0</v>
      </c>
      <c r="AB2" s="103"/>
      <c r="AC2" s="116"/>
      <c r="AD2" s="103" cm="1">
        <f t="array" ref="AD2">SUMPRODUCT(($S$9:$S$51&lt;&gt;"Not set")*(AE$9:AE$51&gt;0)*($Q$9:$Q$51&gt;=AE$9:AE$51)*AD$9:AD$51) / SUMPRODUCT((AE$9:AE$51&gt;0)*AD$9:AD$51)</f>
        <v>0</v>
      </c>
      <c r="AE2" s="103"/>
      <c r="AF2" s="104"/>
      <c r="AG2" s="13"/>
    </row>
    <row r="3" spans="2:34" ht="14.5" customHeight="1">
      <c r="B3" s="90"/>
      <c r="C3" s="156"/>
      <c r="D3" s="166" t="s">
        <v>1</v>
      </c>
      <c r="E3" s="167"/>
      <c r="F3" s="168"/>
      <c r="G3" s="14" t="s">
        <v>51</v>
      </c>
      <c r="I3" s="90"/>
      <c r="J3" s="90"/>
      <c r="K3" s="90"/>
      <c r="L3" s="92"/>
      <c r="M3" s="41"/>
      <c r="N3" s="41"/>
      <c r="O3" s="41"/>
      <c r="P3" s="65"/>
      <c r="Q3" s="65"/>
      <c r="R3" s="65"/>
      <c r="S3" s="84"/>
      <c r="T3" s="85"/>
      <c r="U3" s="117"/>
      <c r="V3" s="105"/>
      <c r="W3" s="118"/>
      <c r="X3" s="122"/>
      <c r="Y3" s="105"/>
      <c r="Z3" s="118"/>
      <c r="AA3" s="122"/>
      <c r="AB3" s="105"/>
      <c r="AC3" s="118"/>
      <c r="AD3" s="105"/>
      <c r="AE3" s="105"/>
      <c r="AF3" s="106"/>
      <c r="AG3" s="13"/>
    </row>
    <row r="4" spans="2:34" ht="14.5" customHeight="1">
      <c r="B4" s="90"/>
      <c r="C4" s="156"/>
      <c r="D4" s="163" t="s">
        <v>2</v>
      </c>
      <c r="E4" s="164"/>
      <c r="F4" s="165"/>
      <c r="G4" s="15" t="s">
        <v>50</v>
      </c>
      <c r="H4" s="12"/>
      <c r="I4" s="90" t="s">
        <v>5</v>
      </c>
      <c r="J4" s="90"/>
      <c r="K4" s="90"/>
      <c r="L4" s="93">
        <v>0.75</v>
      </c>
      <c r="M4" s="40"/>
      <c r="N4" s="40"/>
      <c r="O4" s="40"/>
      <c r="P4" s="64"/>
      <c r="Q4" s="64"/>
      <c r="R4" s="64"/>
      <c r="S4" s="86" t="s">
        <v>14</v>
      </c>
      <c r="T4" s="87"/>
      <c r="U4" s="111" cm="1">
        <f t="array" ref="U4">IFERROR(SUMPRODUCT((W$9:W$51=1)*($S$9:$S$51&lt;&gt;"Not set")*(V$9:V$51&gt;0)*($Q$9:$Q$51&gt;=V$9:V$51)*U$9:U$51)/SUMPRODUCT(($S$9:$S$51&lt;&gt;"Not set")*(V$9:V$51&gt;0)*($Q$9:$Q$51&gt;=V$9:V$51)*U$9:U$51),0)</f>
        <v>0</v>
      </c>
      <c r="V4" s="107"/>
      <c r="W4" s="112"/>
      <c r="X4" s="119" cm="1">
        <f t="array" ref="X4">IFERROR(SUMPRODUCT((Z$9:Z$51=1)*($S$9:$S$51&lt;&gt;"Not set")*(Y$9:Y$51&gt;0)*($Q$9:$Q$51&gt;=Y$9:Y$51)*X$9:X$51)/SUMPRODUCT(($S$9:$S$51&lt;&gt;"Not set")*(Y$9:Y$51&gt;0)*($Q$9:$Q$51&gt;=Y$9:Y$51)*X$9:X$51),0)</f>
        <v>0</v>
      </c>
      <c r="Y4" s="107"/>
      <c r="Z4" s="112"/>
      <c r="AA4" s="119" cm="1">
        <f t="array" ref="AA4">IFERROR(SUMPRODUCT((AC$9:AC$51=1)*($S$9:$S$51&lt;&gt;"Not set")*(AB$9:AB$51&gt;0)*($Q$9:$Q$51&gt;=AB$9:AB$51)*AA$9:AA$51)/SUMPRODUCT(($S$9:$S$51&lt;&gt;"Not set")*(AB$9:AB$51&gt;0)*($Q$9:$Q$51&gt;=AB$9:AB$51)*AA$9:AA$51),0)</f>
        <v>0</v>
      </c>
      <c r="AB4" s="107"/>
      <c r="AC4" s="112"/>
      <c r="AD4" s="107" cm="1">
        <f t="array" ref="AD4">IFERROR(SUMPRODUCT((AF$9:AF$51=1)*($S$9:$S$51&lt;&gt;"Not set")*(AE$9:AE$51&gt;0)*($Q$9:$Q$51&gt;=AE$9:AE$51)*AD$9:AD$51)/SUMPRODUCT(($S$9:$S$51&lt;&gt;"Not set")*(AE$9:AE$51&gt;0)*($Q$9:$Q$51&gt;=AE$9:AE$51)*AD$9:AD$51),0)</f>
        <v>0</v>
      </c>
      <c r="AE4" s="107"/>
      <c r="AF4" s="107"/>
      <c r="AG4" s="63"/>
    </row>
    <row r="5" spans="2:34" ht="14.5" customHeight="1" thickBot="1">
      <c r="B5" s="90"/>
      <c r="C5" s="156"/>
      <c r="D5" s="157" t="s">
        <v>3</v>
      </c>
      <c r="E5" s="158"/>
      <c r="F5" s="159"/>
      <c r="G5" s="16" t="s">
        <v>49</v>
      </c>
      <c r="H5" s="12"/>
      <c r="I5" s="90"/>
      <c r="J5" s="90"/>
      <c r="K5" s="90"/>
      <c r="L5" s="94"/>
      <c r="M5" s="40"/>
      <c r="N5" s="40"/>
      <c r="O5" s="40"/>
      <c r="P5" s="64"/>
      <c r="Q5" s="64"/>
      <c r="R5" s="64"/>
      <c r="S5" s="86"/>
      <c r="T5" s="87"/>
      <c r="U5" s="113"/>
      <c r="V5" s="108"/>
      <c r="W5" s="114"/>
      <c r="X5" s="120"/>
      <c r="Y5" s="108"/>
      <c r="Z5" s="114"/>
      <c r="AA5" s="120"/>
      <c r="AB5" s="108"/>
      <c r="AC5" s="114"/>
      <c r="AD5" s="108"/>
      <c r="AE5" s="108"/>
      <c r="AF5" s="108"/>
      <c r="AG5" s="63"/>
      <c r="AH5" s="17" t="s">
        <v>62</v>
      </c>
    </row>
    <row r="6" spans="2:34" ht="8.5" customHeight="1" thickBot="1">
      <c r="P6" s="10"/>
      <c r="Q6" s="18"/>
      <c r="R6" s="10"/>
      <c r="S6" s="10"/>
      <c r="T6" s="10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2:34" ht="14.5" customHeight="1">
      <c r="B7" s="143" t="s">
        <v>6</v>
      </c>
      <c r="C7" s="141"/>
      <c r="D7" s="141"/>
      <c r="E7" s="141"/>
      <c r="F7" s="141"/>
      <c r="G7" s="141"/>
      <c r="H7" s="141"/>
      <c r="I7" s="141"/>
      <c r="J7" s="141"/>
      <c r="K7" s="142"/>
      <c r="L7" s="141" t="s">
        <v>58</v>
      </c>
      <c r="M7" s="141"/>
      <c r="N7" s="141"/>
      <c r="O7" s="142"/>
      <c r="P7" s="20"/>
      <c r="Q7" s="88" t="s">
        <v>61</v>
      </c>
      <c r="R7" s="20"/>
      <c r="S7" s="88" t="s">
        <v>59</v>
      </c>
      <c r="T7" s="20"/>
      <c r="U7" s="95" t="s">
        <v>7</v>
      </c>
      <c r="V7" s="96"/>
      <c r="W7" s="97"/>
      <c r="X7" s="101" t="s">
        <v>53</v>
      </c>
      <c r="Y7" s="96"/>
      <c r="Z7" s="97"/>
      <c r="AA7" s="101" t="s">
        <v>54</v>
      </c>
      <c r="AB7" s="96"/>
      <c r="AC7" s="97"/>
      <c r="AD7" s="96" t="s">
        <v>55</v>
      </c>
      <c r="AE7" s="96"/>
      <c r="AF7" s="109"/>
      <c r="AH7" s="88" t="s">
        <v>16</v>
      </c>
    </row>
    <row r="8" spans="2:34" ht="14.5" customHeight="1" thickBot="1">
      <c r="B8" s="144"/>
      <c r="C8" s="145"/>
      <c r="D8" s="145"/>
      <c r="E8" s="145"/>
      <c r="F8" s="145"/>
      <c r="G8" s="145"/>
      <c r="H8" s="145"/>
      <c r="I8" s="145"/>
      <c r="J8" s="145"/>
      <c r="K8" s="146"/>
      <c r="L8" s="21" t="s">
        <v>7</v>
      </c>
      <c r="M8" s="22" t="s">
        <v>53</v>
      </c>
      <c r="N8" s="23" t="s">
        <v>54</v>
      </c>
      <c r="O8" s="24" t="s">
        <v>55</v>
      </c>
      <c r="P8" s="20"/>
      <c r="Q8" s="89"/>
      <c r="R8" s="20"/>
      <c r="S8" s="89"/>
      <c r="T8" s="20"/>
      <c r="U8" s="98"/>
      <c r="V8" s="99"/>
      <c r="W8" s="100"/>
      <c r="X8" s="102"/>
      <c r="Y8" s="99"/>
      <c r="Z8" s="100"/>
      <c r="AA8" s="102"/>
      <c r="AB8" s="99"/>
      <c r="AC8" s="100"/>
      <c r="AD8" s="99"/>
      <c r="AE8" s="99"/>
      <c r="AF8" s="110"/>
      <c r="AH8" s="89"/>
    </row>
    <row r="9" spans="2:34" ht="14.5" customHeight="1">
      <c r="B9" s="160" t="s">
        <v>8</v>
      </c>
      <c r="C9" s="161"/>
      <c r="D9" s="161"/>
      <c r="E9" s="161"/>
      <c r="F9" s="161"/>
      <c r="G9" s="161"/>
      <c r="H9" s="161"/>
      <c r="I9" s="161"/>
      <c r="J9" s="161"/>
      <c r="K9" s="162"/>
      <c r="L9" s="150"/>
      <c r="M9" s="151"/>
      <c r="N9" s="151"/>
      <c r="O9" s="152"/>
      <c r="P9" s="20"/>
      <c r="Q9" s="132"/>
      <c r="R9" s="20"/>
      <c r="S9" s="132"/>
      <c r="T9" s="20"/>
      <c r="U9" s="126"/>
      <c r="V9" s="126"/>
      <c r="W9" s="136"/>
      <c r="X9" s="137"/>
      <c r="Y9" s="126"/>
      <c r="Z9" s="136"/>
      <c r="AA9" s="126"/>
      <c r="AB9" s="126"/>
      <c r="AC9" s="136"/>
      <c r="AD9" s="126"/>
      <c r="AE9" s="126"/>
      <c r="AF9" s="128"/>
      <c r="AH9" s="123"/>
    </row>
    <row r="10" spans="2:34" ht="14.5" customHeight="1">
      <c r="B10" s="147" t="s">
        <v>9</v>
      </c>
      <c r="C10" s="148"/>
      <c r="D10" s="148"/>
      <c r="E10" s="148"/>
      <c r="F10" s="148"/>
      <c r="G10" s="148"/>
      <c r="H10" s="148"/>
      <c r="I10" s="148"/>
      <c r="J10" s="148"/>
      <c r="K10" s="149"/>
      <c r="L10" s="25">
        <v>2</v>
      </c>
      <c r="M10" s="26">
        <v>1.6</v>
      </c>
      <c r="N10" s="27">
        <v>0.8</v>
      </c>
      <c r="O10" s="28">
        <v>0.4</v>
      </c>
      <c r="P10" s="20"/>
      <c r="Q10" s="133"/>
      <c r="R10" s="20"/>
      <c r="S10" s="133"/>
      <c r="T10" s="20"/>
      <c r="U10" s="127"/>
      <c r="V10" s="127"/>
      <c r="W10" s="135"/>
      <c r="X10" s="138"/>
      <c r="Y10" s="127"/>
      <c r="Z10" s="135"/>
      <c r="AA10" s="127"/>
      <c r="AB10" s="127"/>
      <c r="AC10" s="135"/>
      <c r="AD10" s="127"/>
      <c r="AE10" s="127"/>
      <c r="AF10" s="129"/>
      <c r="AH10" s="124"/>
    </row>
    <row r="11" spans="2:34" ht="28.25" customHeight="1" outlineLevel="1">
      <c r="B11" s="78" t="s">
        <v>25</v>
      </c>
      <c r="C11" s="79"/>
      <c r="D11" s="79"/>
      <c r="E11" s="79"/>
      <c r="F11" s="79"/>
      <c r="G11" s="79"/>
      <c r="H11" s="79"/>
      <c r="I11" s="79"/>
      <c r="J11" s="79"/>
      <c r="K11" s="80"/>
      <c r="L11" s="29">
        <v>2</v>
      </c>
      <c r="M11" s="30">
        <v>3</v>
      </c>
      <c r="N11" s="31">
        <v>4</v>
      </c>
      <c r="O11" s="32">
        <v>4</v>
      </c>
      <c r="P11" s="20"/>
      <c r="Q11" s="60" t="s">
        <v>60</v>
      </c>
      <c r="R11" s="20"/>
      <c r="S11" s="5" t="s">
        <v>60</v>
      </c>
      <c r="T11" s="20"/>
      <c r="U11" s="66">
        <f>INDEX($L$10:$O$10,MATCH($U$7,$L$8:$O$8,0))</f>
        <v>2</v>
      </c>
      <c r="V11" s="67">
        <f>INDEX($L11:$O11,MATCH($U$7,$L$8:$O$8,0))</f>
        <v>2</v>
      </c>
      <c r="W11" s="31" t="str">
        <f t="shared" ref="W11:W51" si="0">IF(OR($S11="Not set",$Q11&lt;$V11,$V11="",$V11=0),"",IF($S11&gt;=$V11,1,0))</f>
        <v/>
      </c>
      <c r="X11" s="67">
        <f>INDEX($L$10:$O$10,MATCH($X$7,$L$8:$O$8,0))</f>
        <v>1.6</v>
      </c>
      <c r="Y11" s="67">
        <f>INDEX($L11:$O11,MATCH($X$7,$L$8:$O$8,0))</f>
        <v>3</v>
      </c>
      <c r="Z11" s="31" t="str">
        <f>IF(OR($S11="Not set",$Q11&lt;$Y11,$Y11="",$Y11=0),"",IF($S11&gt;=$Y11,1,0))</f>
        <v/>
      </c>
      <c r="AA11" s="66">
        <f>INDEX($L$10:$O$10,MATCH($AA$7,$L$8:$O$8,0))</f>
        <v>0.8</v>
      </c>
      <c r="AB11" s="67">
        <f>INDEX($L11:$O11,MATCH($AA$7,$L$8:$O$8,0))</f>
        <v>4</v>
      </c>
      <c r="AC11" s="31" t="str">
        <f>IF(OR($S11="Not set",$Q11&lt;$AB11,$AB11="",$AB11=0),"",IF($S11&gt;=$AB11,1,0))</f>
        <v/>
      </c>
      <c r="AD11" s="66">
        <f>INDEX($L$10:$O$10,MATCH($AD$7,$L$8:$O$8,0))</f>
        <v>0.4</v>
      </c>
      <c r="AE11" s="67">
        <f>INDEX($L11:$O11,MATCH($AD$7,$L$8:$O$8,0))</f>
        <v>4</v>
      </c>
      <c r="AF11" s="32" t="str">
        <f>IF(OR($S11="Not set",$Q11&lt;$AE11,$AE11="",$AE11=0),"",IF($S11&gt;=$AE11,1,0))</f>
        <v/>
      </c>
      <c r="AH11" s="1"/>
    </row>
    <row r="12" spans="2:34" ht="28.25" customHeight="1" outlineLevel="1">
      <c r="B12" s="78" t="s">
        <v>52</v>
      </c>
      <c r="C12" s="79"/>
      <c r="D12" s="79"/>
      <c r="E12" s="79"/>
      <c r="F12" s="79"/>
      <c r="G12" s="79"/>
      <c r="H12" s="79"/>
      <c r="I12" s="79"/>
      <c r="J12" s="79"/>
      <c r="K12" s="80"/>
      <c r="L12" s="29">
        <v>2</v>
      </c>
      <c r="M12" s="30">
        <v>3</v>
      </c>
      <c r="N12" s="31">
        <v>4</v>
      </c>
      <c r="O12" s="32">
        <v>4</v>
      </c>
      <c r="P12" s="20"/>
      <c r="Q12" s="5" t="s">
        <v>60</v>
      </c>
      <c r="R12" s="20"/>
      <c r="S12" s="5" t="s">
        <v>60</v>
      </c>
      <c r="T12" s="20"/>
      <c r="U12" s="66">
        <f>INDEX($L$10:$O$10,MATCH($U$7,$L$8:$O$8,0))</f>
        <v>2</v>
      </c>
      <c r="V12" s="67">
        <f>INDEX($L12:$O12,MATCH($U$7,$L$8:$O$8,0))</f>
        <v>2</v>
      </c>
      <c r="W12" s="31" t="str">
        <f t="shared" si="0"/>
        <v/>
      </c>
      <c r="X12" s="67">
        <f>INDEX($L$10:$O$10,MATCH($X$7,$L$8:$O$8,0))</f>
        <v>1.6</v>
      </c>
      <c r="Y12" s="67">
        <f>INDEX($L12:$O12,MATCH($X$7,$L$8:$O$8,0))</f>
        <v>3</v>
      </c>
      <c r="Z12" s="31" t="str">
        <f t="shared" ref="Z12:Z51" si="1">IF(OR($S12="Not set",$Q12&lt;$Y12,$Y12="",$Y12=0),"",IF($S12&gt;=$Y12,1,0))</f>
        <v/>
      </c>
      <c r="AA12" s="66">
        <f>INDEX($L$10:$O$10,MATCH($AA$7,$L$8:$O$8,0))</f>
        <v>0.8</v>
      </c>
      <c r="AB12" s="67">
        <f>INDEX($L12:$O12,MATCH($AA$7,$L$8:$O$8,0))</f>
        <v>4</v>
      </c>
      <c r="AC12" s="31" t="str">
        <f t="shared" ref="AC12:AC51" si="2">IF(OR($S12="Not set",$Q12&lt;$AB12,$AB12="",$AB12=0),"",IF($S12&gt;=$AB12,1,0))</f>
        <v/>
      </c>
      <c r="AD12" s="66">
        <f>INDEX($L$10:$O$10,MATCH($AD$7,$L$8:$O$8,0))</f>
        <v>0.4</v>
      </c>
      <c r="AE12" s="67">
        <f>INDEX($L12:$O12,MATCH($AD$7,$L$8:$O$8,0))</f>
        <v>4</v>
      </c>
      <c r="AF12" s="32" t="str">
        <f t="shared" ref="AF12:AF51" si="3">IF(OR($S12="Not set",$Q12&lt;$AE12,$AE12="",$AE12=0),"",IF($S12&gt;=$AE12,1,0))</f>
        <v/>
      </c>
      <c r="AH12" s="2"/>
    </row>
    <row r="13" spans="2:34" ht="28.25" customHeight="1" outlineLevel="1">
      <c r="B13" s="78" t="s">
        <v>32</v>
      </c>
      <c r="C13" s="79"/>
      <c r="D13" s="79"/>
      <c r="E13" s="79"/>
      <c r="F13" s="79"/>
      <c r="G13" s="79"/>
      <c r="H13" s="79"/>
      <c r="I13" s="79"/>
      <c r="J13" s="79"/>
      <c r="K13" s="80"/>
      <c r="L13" s="29">
        <v>2</v>
      </c>
      <c r="M13" s="30">
        <v>3</v>
      </c>
      <c r="N13" s="31">
        <v>4</v>
      </c>
      <c r="O13" s="32">
        <v>4</v>
      </c>
      <c r="P13" s="20"/>
      <c r="Q13" s="61" t="s">
        <v>60</v>
      </c>
      <c r="R13" s="20"/>
      <c r="S13" s="5" t="s">
        <v>60</v>
      </c>
      <c r="T13" s="20"/>
      <c r="U13" s="66">
        <f>INDEX($L$10:$O$10,MATCH($U$7,$L$8:$O$8,0))</f>
        <v>2</v>
      </c>
      <c r="V13" s="67">
        <f>INDEX($L13:$O13,MATCH($U$7,$L$8:$O$8,0))</f>
        <v>2</v>
      </c>
      <c r="W13" s="31" t="str">
        <f t="shared" si="0"/>
        <v/>
      </c>
      <c r="X13" s="67">
        <f>INDEX($L$10:$O$10,MATCH($X$7,$L$8:$O$8,0))</f>
        <v>1.6</v>
      </c>
      <c r="Y13" s="67">
        <f>INDEX($L13:$O13,MATCH($X$7,$L$8:$O$8,0))</f>
        <v>3</v>
      </c>
      <c r="Z13" s="31" t="str">
        <f t="shared" si="1"/>
        <v/>
      </c>
      <c r="AA13" s="66">
        <f>INDEX($L$10:$O$10,MATCH($AA$7,$L$8:$O$8,0))</f>
        <v>0.8</v>
      </c>
      <c r="AB13" s="67">
        <f>INDEX($L13:$O13,MATCH($AA$7,$L$8:$O$8,0))</f>
        <v>4</v>
      </c>
      <c r="AC13" s="31" t="str">
        <f t="shared" si="2"/>
        <v/>
      </c>
      <c r="AD13" s="66">
        <f>INDEX($L$10:$O$10,MATCH($AD$7,$L$8:$O$8,0))</f>
        <v>0.4</v>
      </c>
      <c r="AE13" s="67">
        <f>INDEX($L13:$O13,MATCH($AD$7,$L$8:$O$8,0))</f>
        <v>4</v>
      </c>
      <c r="AF13" s="32" t="str">
        <f t="shared" si="3"/>
        <v/>
      </c>
      <c r="AH13" s="3"/>
    </row>
    <row r="14" spans="2:34" ht="28.25" customHeight="1" outlineLevel="1">
      <c r="B14" s="78" t="s">
        <v>24</v>
      </c>
      <c r="C14" s="79"/>
      <c r="D14" s="79"/>
      <c r="E14" s="79"/>
      <c r="F14" s="79"/>
      <c r="G14" s="79"/>
      <c r="H14" s="79"/>
      <c r="I14" s="79"/>
      <c r="J14" s="79"/>
      <c r="K14" s="80"/>
      <c r="L14" s="29">
        <v>1</v>
      </c>
      <c r="M14" s="30">
        <v>2</v>
      </c>
      <c r="N14" s="31">
        <v>3</v>
      </c>
      <c r="O14" s="32">
        <v>4</v>
      </c>
      <c r="P14" s="20"/>
      <c r="Q14" s="5" t="s">
        <v>60</v>
      </c>
      <c r="R14" s="20"/>
      <c r="S14" s="5" t="s">
        <v>60</v>
      </c>
      <c r="T14" s="20"/>
      <c r="U14" s="66">
        <f>INDEX($L$10:$O$10,MATCH($U$7,$L$8:$O$8,0))</f>
        <v>2</v>
      </c>
      <c r="V14" s="67">
        <f>INDEX($L14:$O14,MATCH($U$7,$L$8:$O$8,0))</f>
        <v>1</v>
      </c>
      <c r="W14" s="31" t="str">
        <f t="shared" si="0"/>
        <v/>
      </c>
      <c r="X14" s="67">
        <f>INDEX($L$10:$O$10,MATCH($X$7,$L$8:$O$8,0))</f>
        <v>1.6</v>
      </c>
      <c r="Y14" s="67">
        <f>INDEX($L14:$O14,MATCH($X$7,$L$8:$O$8,0))</f>
        <v>2</v>
      </c>
      <c r="Z14" s="31" t="str">
        <f t="shared" si="1"/>
        <v/>
      </c>
      <c r="AA14" s="66">
        <f>INDEX($L$10:$O$10,MATCH($AA$7,$L$8:$O$8,0))</f>
        <v>0.8</v>
      </c>
      <c r="AB14" s="67">
        <f>INDEX($L14:$O14,MATCH($AA$7,$L$8:$O$8,0))</f>
        <v>3</v>
      </c>
      <c r="AC14" s="31" t="str">
        <f t="shared" si="2"/>
        <v/>
      </c>
      <c r="AD14" s="66">
        <f>INDEX($L$10:$O$10,MATCH($AD$7,$L$8:$O$8,0))</f>
        <v>0.4</v>
      </c>
      <c r="AE14" s="67">
        <f>INDEX($L14:$O14,MATCH($AD$7,$L$8:$O$8,0))</f>
        <v>4</v>
      </c>
      <c r="AF14" s="32" t="str">
        <f t="shared" si="3"/>
        <v/>
      </c>
      <c r="AH14" s="2"/>
    </row>
    <row r="15" spans="2:34" ht="28.25" customHeight="1" outlineLevel="1">
      <c r="B15" s="78" t="s">
        <v>29</v>
      </c>
      <c r="C15" s="79"/>
      <c r="D15" s="79"/>
      <c r="E15" s="79"/>
      <c r="F15" s="79"/>
      <c r="G15" s="79"/>
      <c r="H15" s="79"/>
      <c r="I15" s="79"/>
      <c r="J15" s="79"/>
      <c r="K15" s="80"/>
      <c r="L15" s="29">
        <v>1</v>
      </c>
      <c r="M15" s="30">
        <v>2</v>
      </c>
      <c r="N15" s="31">
        <v>3</v>
      </c>
      <c r="O15" s="32">
        <v>4</v>
      </c>
      <c r="P15" s="20"/>
      <c r="Q15" s="5" t="s">
        <v>60</v>
      </c>
      <c r="R15" s="20"/>
      <c r="S15" s="5" t="s">
        <v>60</v>
      </c>
      <c r="T15" s="20"/>
      <c r="U15" s="66">
        <f>INDEX($L$10:$O$10,MATCH($U$7,$L$8:$O$8,0))</f>
        <v>2</v>
      </c>
      <c r="V15" s="67">
        <f>INDEX($L15:$O15,MATCH($U$7,$L$8:$O$8,0))</f>
        <v>1</v>
      </c>
      <c r="W15" s="31" t="str">
        <f t="shared" si="0"/>
        <v/>
      </c>
      <c r="X15" s="67">
        <f>INDEX($L$10:$O$10,MATCH($X$7,$L$8:$O$8,0))</f>
        <v>1.6</v>
      </c>
      <c r="Y15" s="67">
        <f>INDEX($L15:$O15,MATCH($X$7,$L$8:$O$8,0))</f>
        <v>2</v>
      </c>
      <c r="Z15" s="31" t="str">
        <f t="shared" si="1"/>
        <v/>
      </c>
      <c r="AA15" s="66">
        <f>INDEX($L$10:$O$10,MATCH($AA$7,$L$8:$O$8,0))</f>
        <v>0.8</v>
      </c>
      <c r="AB15" s="67">
        <f>INDEX($L15:$O15,MATCH($AA$7,$L$8:$O$8,0))</f>
        <v>3</v>
      </c>
      <c r="AC15" s="31" t="str">
        <f t="shared" si="2"/>
        <v/>
      </c>
      <c r="AD15" s="66">
        <f>INDEX($L$10:$O$10,MATCH($AD$7,$L$8:$O$8,0))</f>
        <v>0.4</v>
      </c>
      <c r="AE15" s="67">
        <f>INDEX($L15:$O15,MATCH($AD$7,$L$8:$O$8,0))</f>
        <v>4</v>
      </c>
      <c r="AF15" s="32" t="str">
        <f t="shared" si="3"/>
        <v/>
      </c>
      <c r="AH15" s="3"/>
    </row>
    <row r="16" spans="2:34" ht="14.5" customHeight="1">
      <c r="B16" s="75" t="s">
        <v>10</v>
      </c>
      <c r="C16" s="76"/>
      <c r="D16" s="76"/>
      <c r="E16" s="76"/>
      <c r="F16" s="76"/>
      <c r="G16" s="76"/>
      <c r="H16" s="76"/>
      <c r="I16" s="76"/>
      <c r="J16" s="76"/>
      <c r="K16" s="77"/>
      <c r="L16" s="33">
        <v>1.4</v>
      </c>
      <c r="M16" s="34">
        <v>1.8</v>
      </c>
      <c r="N16" s="26">
        <v>1.4</v>
      </c>
      <c r="O16" s="35">
        <v>1.2</v>
      </c>
      <c r="P16" s="20"/>
      <c r="Q16" s="36"/>
      <c r="R16" s="20"/>
      <c r="S16" s="36"/>
      <c r="T16" s="20"/>
      <c r="U16" s="68"/>
      <c r="V16" s="69"/>
      <c r="W16" s="37" t="str">
        <f t="shared" si="0"/>
        <v/>
      </c>
      <c r="X16" s="69"/>
      <c r="Y16" s="69"/>
      <c r="Z16" s="37" t="str">
        <f t="shared" si="1"/>
        <v/>
      </c>
      <c r="AA16" s="68"/>
      <c r="AB16" s="69"/>
      <c r="AC16" s="37" t="str">
        <f t="shared" si="2"/>
        <v/>
      </c>
      <c r="AD16" s="68"/>
      <c r="AE16" s="69"/>
      <c r="AF16" s="38" t="str">
        <f t="shared" si="3"/>
        <v/>
      </c>
      <c r="AH16" s="39"/>
    </row>
    <row r="17" spans="2:56" ht="28.75" customHeight="1" outlineLevel="1">
      <c r="B17" s="78" t="s">
        <v>57</v>
      </c>
      <c r="C17" s="79"/>
      <c r="D17" s="79"/>
      <c r="E17" s="79"/>
      <c r="F17" s="79"/>
      <c r="G17" s="79"/>
      <c r="H17" s="79"/>
      <c r="I17" s="79"/>
      <c r="J17" s="79"/>
      <c r="K17" s="80"/>
      <c r="L17" s="29">
        <v>1</v>
      </c>
      <c r="M17" s="30">
        <v>2</v>
      </c>
      <c r="N17" s="30">
        <v>3</v>
      </c>
      <c r="O17" s="32">
        <v>4</v>
      </c>
      <c r="P17" s="20"/>
      <c r="Q17" s="5" t="s">
        <v>60</v>
      </c>
      <c r="R17" s="20"/>
      <c r="S17" s="5" t="s">
        <v>60</v>
      </c>
      <c r="T17" s="20"/>
      <c r="U17" s="66">
        <f t="shared" ref="U17:U22" si="4">INDEX($L$16:$O$16,MATCH($U$7,$L$8:$O$8,0))</f>
        <v>1.4</v>
      </c>
      <c r="V17" s="67">
        <f t="shared" ref="V17:V22" si="5">INDEX($L17:$O17,MATCH($U$7,$L$8:$O$8,0))</f>
        <v>1</v>
      </c>
      <c r="W17" s="31" t="str">
        <f t="shared" si="0"/>
        <v/>
      </c>
      <c r="X17" s="67">
        <f t="shared" ref="X17:X22" si="6">INDEX($L$16:$O$16,MATCH($X$7,$L$8:$O$8,0))</f>
        <v>1.8</v>
      </c>
      <c r="Y17" s="67">
        <f t="shared" ref="Y17:Y22" si="7">INDEX($L17:$O17,MATCH($X$7,$L$8:$O$8,0))</f>
        <v>2</v>
      </c>
      <c r="Z17" s="31" t="str">
        <f t="shared" si="1"/>
        <v/>
      </c>
      <c r="AA17" s="66">
        <f t="shared" ref="AA17:AA22" si="8">INDEX($L$16:$O$16,MATCH($AA$7,$L$8:$O$8,0))</f>
        <v>1.4</v>
      </c>
      <c r="AB17" s="67">
        <f t="shared" ref="AB17:AB22" si="9">INDEX($L17:$O17,MATCH($AA$7,$L$8:$O$8,0))</f>
        <v>3</v>
      </c>
      <c r="AC17" s="31" t="str">
        <f t="shared" si="2"/>
        <v/>
      </c>
      <c r="AD17" s="66">
        <f t="shared" ref="AD17:AD22" si="10">INDEX($L$16:$O$16,MATCH($AD$7,$L$8:$O$8,0))</f>
        <v>1.2</v>
      </c>
      <c r="AE17" s="67">
        <f t="shared" ref="AE17:AE22" si="11">INDEX($L17:$O17,MATCH($AD$7,$L$8:$O$8,0))</f>
        <v>4</v>
      </c>
      <c r="AF17" s="32" t="str">
        <f t="shared" si="3"/>
        <v/>
      </c>
      <c r="AH17" s="2"/>
      <c r="AY17" s="40"/>
      <c r="AZ17" s="40"/>
      <c r="BA17" s="40"/>
      <c r="BB17" s="40"/>
      <c r="BC17" s="40"/>
      <c r="BD17" s="40"/>
    </row>
    <row r="18" spans="2:56" ht="28.75" customHeight="1" outlineLevel="1">
      <c r="B18" s="78" t="s">
        <v>47</v>
      </c>
      <c r="C18" s="79"/>
      <c r="D18" s="79"/>
      <c r="E18" s="79"/>
      <c r="F18" s="79"/>
      <c r="G18" s="79"/>
      <c r="H18" s="79"/>
      <c r="I18" s="79"/>
      <c r="J18" s="79"/>
      <c r="K18" s="80"/>
      <c r="L18" s="29">
        <v>1</v>
      </c>
      <c r="M18" s="30">
        <v>2</v>
      </c>
      <c r="N18" s="30">
        <v>3</v>
      </c>
      <c r="O18" s="32">
        <v>4</v>
      </c>
      <c r="P18" s="20"/>
      <c r="Q18" s="61" t="s">
        <v>60</v>
      </c>
      <c r="R18" s="20"/>
      <c r="S18" s="5" t="s">
        <v>60</v>
      </c>
      <c r="T18" s="20"/>
      <c r="U18" s="66">
        <f t="shared" si="4"/>
        <v>1.4</v>
      </c>
      <c r="V18" s="67">
        <f t="shared" si="5"/>
        <v>1</v>
      </c>
      <c r="W18" s="31" t="str">
        <f t="shared" si="0"/>
        <v/>
      </c>
      <c r="X18" s="67">
        <f t="shared" si="6"/>
        <v>1.8</v>
      </c>
      <c r="Y18" s="67">
        <f t="shared" si="7"/>
        <v>2</v>
      </c>
      <c r="Z18" s="31" t="str">
        <f t="shared" si="1"/>
        <v/>
      </c>
      <c r="AA18" s="66">
        <f t="shared" si="8"/>
        <v>1.4</v>
      </c>
      <c r="AB18" s="67">
        <f t="shared" si="9"/>
        <v>3</v>
      </c>
      <c r="AC18" s="31" t="str">
        <f t="shared" si="2"/>
        <v/>
      </c>
      <c r="AD18" s="66">
        <f t="shared" si="10"/>
        <v>1.2</v>
      </c>
      <c r="AE18" s="67">
        <f t="shared" si="11"/>
        <v>4</v>
      </c>
      <c r="AF18" s="32" t="str">
        <f t="shared" si="3"/>
        <v/>
      </c>
      <c r="AH18" s="2"/>
      <c r="AY18" s="40"/>
      <c r="AZ18" s="40"/>
      <c r="BA18" s="40"/>
      <c r="BB18" s="40"/>
      <c r="BC18" s="40"/>
      <c r="BD18" s="40"/>
    </row>
    <row r="19" spans="2:56" ht="28.75" customHeight="1" outlineLevel="1">
      <c r="B19" s="78" t="s">
        <v>46</v>
      </c>
      <c r="C19" s="79"/>
      <c r="D19" s="79"/>
      <c r="E19" s="79"/>
      <c r="F19" s="79"/>
      <c r="G19" s="79"/>
      <c r="H19" s="79"/>
      <c r="I19" s="79"/>
      <c r="J19" s="79"/>
      <c r="K19" s="80"/>
      <c r="L19" s="29">
        <v>1</v>
      </c>
      <c r="M19" s="30">
        <v>2</v>
      </c>
      <c r="N19" s="30">
        <v>3</v>
      </c>
      <c r="O19" s="32">
        <v>4</v>
      </c>
      <c r="P19" s="20"/>
      <c r="Q19" s="7" t="s">
        <v>60</v>
      </c>
      <c r="R19" s="20"/>
      <c r="S19" s="5" t="s">
        <v>60</v>
      </c>
      <c r="T19" s="20"/>
      <c r="U19" s="66">
        <f t="shared" si="4"/>
        <v>1.4</v>
      </c>
      <c r="V19" s="67">
        <f t="shared" si="5"/>
        <v>1</v>
      </c>
      <c r="W19" s="31" t="str">
        <f t="shared" si="0"/>
        <v/>
      </c>
      <c r="X19" s="67">
        <f t="shared" si="6"/>
        <v>1.8</v>
      </c>
      <c r="Y19" s="67">
        <f t="shared" si="7"/>
        <v>2</v>
      </c>
      <c r="Z19" s="31" t="str">
        <f t="shared" si="1"/>
        <v/>
      </c>
      <c r="AA19" s="66">
        <f t="shared" si="8"/>
        <v>1.4</v>
      </c>
      <c r="AB19" s="67">
        <f t="shared" si="9"/>
        <v>3</v>
      </c>
      <c r="AC19" s="31" t="str">
        <f t="shared" si="2"/>
        <v/>
      </c>
      <c r="AD19" s="66">
        <f t="shared" si="10"/>
        <v>1.2</v>
      </c>
      <c r="AE19" s="67">
        <f t="shared" si="11"/>
        <v>4</v>
      </c>
      <c r="AF19" s="32" t="str">
        <f t="shared" si="3"/>
        <v/>
      </c>
      <c r="AH19" s="2"/>
      <c r="AY19" s="41"/>
      <c r="AZ19" s="41"/>
      <c r="BA19" s="41"/>
      <c r="BB19" s="41"/>
      <c r="BC19" s="41"/>
      <c r="BD19" s="41"/>
    </row>
    <row r="20" spans="2:56" ht="28.75" customHeight="1" outlineLevel="1">
      <c r="B20" s="78" t="s">
        <v>30</v>
      </c>
      <c r="C20" s="79"/>
      <c r="D20" s="79"/>
      <c r="E20" s="79"/>
      <c r="F20" s="79"/>
      <c r="G20" s="79"/>
      <c r="H20" s="79"/>
      <c r="I20" s="79"/>
      <c r="J20" s="79"/>
      <c r="K20" s="80"/>
      <c r="L20" s="29">
        <v>1</v>
      </c>
      <c r="M20" s="30">
        <v>2</v>
      </c>
      <c r="N20" s="30">
        <v>3</v>
      </c>
      <c r="O20" s="32">
        <v>4</v>
      </c>
      <c r="P20" s="20"/>
      <c r="Q20" s="7" t="s">
        <v>60</v>
      </c>
      <c r="R20" s="20"/>
      <c r="S20" s="5" t="s">
        <v>60</v>
      </c>
      <c r="T20" s="20"/>
      <c r="U20" s="66">
        <f t="shared" si="4"/>
        <v>1.4</v>
      </c>
      <c r="V20" s="67">
        <f t="shared" si="5"/>
        <v>1</v>
      </c>
      <c r="W20" s="31" t="str">
        <f t="shared" si="0"/>
        <v/>
      </c>
      <c r="X20" s="67">
        <f t="shared" si="6"/>
        <v>1.8</v>
      </c>
      <c r="Y20" s="67">
        <f t="shared" si="7"/>
        <v>2</v>
      </c>
      <c r="Z20" s="31" t="str">
        <f t="shared" si="1"/>
        <v/>
      </c>
      <c r="AA20" s="66">
        <f t="shared" si="8"/>
        <v>1.4</v>
      </c>
      <c r="AB20" s="67">
        <f t="shared" si="9"/>
        <v>3</v>
      </c>
      <c r="AC20" s="31" t="str">
        <f t="shared" si="2"/>
        <v/>
      </c>
      <c r="AD20" s="66">
        <f t="shared" si="10"/>
        <v>1.2</v>
      </c>
      <c r="AE20" s="67">
        <f t="shared" si="11"/>
        <v>4</v>
      </c>
      <c r="AF20" s="32" t="str">
        <f t="shared" si="3"/>
        <v/>
      </c>
      <c r="AH20" s="2"/>
      <c r="AY20" s="41"/>
      <c r="AZ20" s="41"/>
      <c r="BA20" s="41"/>
      <c r="BB20" s="41"/>
      <c r="BC20" s="41"/>
      <c r="BD20" s="41"/>
    </row>
    <row r="21" spans="2:56" ht="28.75" customHeight="1" outlineLevel="1">
      <c r="B21" s="78" t="s">
        <v>26</v>
      </c>
      <c r="C21" s="79"/>
      <c r="D21" s="79"/>
      <c r="E21" s="79"/>
      <c r="F21" s="79"/>
      <c r="G21" s="79"/>
      <c r="H21" s="79"/>
      <c r="I21" s="79"/>
      <c r="J21" s="79"/>
      <c r="K21" s="80"/>
      <c r="L21" s="29">
        <v>0</v>
      </c>
      <c r="M21" s="30">
        <v>1</v>
      </c>
      <c r="N21" s="30">
        <v>3</v>
      </c>
      <c r="O21" s="32">
        <v>4</v>
      </c>
      <c r="P21" s="20"/>
      <c r="Q21" s="5" t="s">
        <v>60</v>
      </c>
      <c r="R21" s="20"/>
      <c r="S21" s="5" t="s">
        <v>60</v>
      </c>
      <c r="T21" s="20"/>
      <c r="U21" s="66">
        <f t="shared" si="4"/>
        <v>1.4</v>
      </c>
      <c r="V21" s="67">
        <f t="shared" si="5"/>
        <v>0</v>
      </c>
      <c r="W21" s="31" t="str">
        <f t="shared" si="0"/>
        <v/>
      </c>
      <c r="X21" s="67">
        <f t="shared" si="6"/>
        <v>1.8</v>
      </c>
      <c r="Y21" s="67">
        <f t="shared" si="7"/>
        <v>1</v>
      </c>
      <c r="Z21" s="31" t="str">
        <f t="shared" si="1"/>
        <v/>
      </c>
      <c r="AA21" s="66">
        <f t="shared" si="8"/>
        <v>1.4</v>
      </c>
      <c r="AB21" s="67">
        <f t="shared" si="9"/>
        <v>3</v>
      </c>
      <c r="AC21" s="31" t="str">
        <f t="shared" si="2"/>
        <v/>
      </c>
      <c r="AD21" s="66">
        <f t="shared" si="10"/>
        <v>1.2</v>
      </c>
      <c r="AE21" s="67">
        <f t="shared" si="11"/>
        <v>4</v>
      </c>
      <c r="AF21" s="32" t="str">
        <f t="shared" si="3"/>
        <v/>
      </c>
      <c r="AH21" s="3"/>
      <c r="AY21" s="41"/>
      <c r="AZ21" s="41"/>
      <c r="BA21" s="41"/>
      <c r="BB21" s="41"/>
      <c r="BC21" s="41"/>
      <c r="BD21" s="41"/>
    </row>
    <row r="22" spans="2:56" ht="28.75" customHeight="1" outlineLevel="1">
      <c r="B22" s="78" t="s">
        <v>22</v>
      </c>
      <c r="C22" s="79"/>
      <c r="D22" s="79"/>
      <c r="E22" s="79"/>
      <c r="F22" s="79"/>
      <c r="G22" s="79"/>
      <c r="H22" s="79"/>
      <c r="I22" s="79"/>
      <c r="J22" s="79"/>
      <c r="K22" s="80"/>
      <c r="L22" s="29">
        <v>0</v>
      </c>
      <c r="M22" s="30">
        <v>1</v>
      </c>
      <c r="N22" s="30">
        <v>3</v>
      </c>
      <c r="O22" s="32">
        <v>4</v>
      </c>
      <c r="P22" s="20"/>
      <c r="Q22" s="61" t="s">
        <v>60</v>
      </c>
      <c r="R22" s="20"/>
      <c r="S22" s="5" t="s">
        <v>60</v>
      </c>
      <c r="T22" s="20"/>
      <c r="U22" s="66">
        <f t="shared" si="4"/>
        <v>1.4</v>
      </c>
      <c r="V22" s="67">
        <f t="shared" si="5"/>
        <v>0</v>
      </c>
      <c r="W22" s="31" t="str">
        <f t="shared" si="0"/>
        <v/>
      </c>
      <c r="X22" s="67">
        <f t="shared" si="6"/>
        <v>1.8</v>
      </c>
      <c r="Y22" s="67">
        <f t="shared" si="7"/>
        <v>1</v>
      </c>
      <c r="Z22" s="31" t="str">
        <f t="shared" si="1"/>
        <v/>
      </c>
      <c r="AA22" s="66">
        <f t="shared" si="8"/>
        <v>1.4</v>
      </c>
      <c r="AB22" s="67">
        <f t="shared" si="9"/>
        <v>3</v>
      </c>
      <c r="AC22" s="31" t="str">
        <f t="shared" si="2"/>
        <v/>
      </c>
      <c r="AD22" s="66">
        <f t="shared" si="10"/>
        <v>1.2</v>
      </c>
      <c r="AE22" s="67">
        <f t="shared" si="11"/>
        <v>4</v>
      </c>
      <c r="AF22" s="32" t="str">
        <f t="shared" si="3"/>
        <v/>
      </c>
      <c r="AH22" s="1"/>
      <c r="AY22" s="41"/>
      <c r="AZ22" s="41"/>
      <c r="BA22" s="41"/>
      <c r="BB22" s="41"/>
      <c r="BC22" s="41"/>
      <c r="BD22" s="41"/>
    </row>
    <row r="23" spans="2:56" ht="14.5" customHeight="1">
      <c r="B23" s="75" t="s">
        <v>11</v>
      </c>
      <c r="C23" s="76"/>
      <c r="D23" s="76"/>
      <c r="E23" s="76"/>
      <c r="F23" s="76"/>
      <c r="G23" s="76"/>
      <c r="H23" s="76"/>
      <c r="I23" s="76"/>
      <c r="J23" s="76"/>
      <c r="K23" s="77"/>
      <c r="L23" s="42">
        <v>0.6</v>
      </c>
      <c r="M23" s="43">
        <v>1.2</v>
      </c>
      <c r="N23" s="26">
        <v>1.6</v>
      </c>
      <c r="O23" s="44">
        <v>1.6</v>
      </c>
      <c r="P23" s="20"/>
      <c r="Q23" s="36"/>
      <c r="R23" s="20"/>
      <c r="S23" s="36"/>
      <c r="T23" s="20"/>
      <c r="U23" s="68"/>
      <c r="V23" s="69"/>
      <c r="W23" s="37" t="str">
        <f t="shared" si="0"/>
        <v/>
      </c>
      <c r="X23" s="69"/>
      <c r="Y23" s="69"/>
      <c r="Z23" s="37" t="str">
        <f t="shared" si="1"/>
        <v/>
      </c>
      <c r="AA23" s="68"/>
      <c r="AB23" s="69"/>
      <c r="AC23" s="37" t="str">
        <f t="shared" si="2"/>
        <v/>
      </c>
      <c r="AD23" s="68"/>
      <c r="AE23" s="69"/>
      <c r="AF23" s="38" t="str">
        <f t="shared" si="3"/>
        <v/>
      </c>
      <c r="AH23" s="45"/>
    </row>
    <row r="24" spans="2:56" ht="28.75" customHeight="1" outlineLevel="1">
      <c r="B24" s="78" t="s">
        <v>19</v>
      </c>
      <c r="C24" s="79"/>
      <c r="D24" s="79"/>
      <c r="E24" s="79"/>
      <c r="F24" s="79"/>
      <c r="G24" s="79"/>
      <c r="H24" s="79"/>
      <c r="I24" s="79"/>
      <c r="J24" s="79"/>
      <c r="K24" s="80"/>
      <c r="L24" s="29">
        <v>1</v>
      </c>
      <c r="M24" s="30">
        <v>1</v>
      </c>
      <c r="N24" s="30">
        <v>2</v>
      </c>
      <c r="O24" s="32">
        <v>4</v>
      </c>
      <c r="P24" s="20"/>
      <c r="Q24" s="5" t="s">
        <v>60</v>
      </c>
      <c r="R24" s="12"/>
      <c r="S24" s="6" t="s">
        <v>60</v>
      </c>
      <c r="T24" s="20"/>
      <c r="U24" s="66">
        <f>INDEX($L$23:$O$23,MATCH($U$7,$L$8:$O$8,0))</f>
        <v>0.6</v>
      </c>
      <c r="V24" s="67">
        <f>INDEX($L24:$O24,MATCH($U$7,$L$8:$O$8,0))</f>
        <v>1</v>
      </c>
      <c r="W24" s="31" t="str">
        <f t="shared" si="0"/>
        <v/>
      </c>
      <c r="X24" s="67">
        <f>INDEX($L$23:$O$23,MATCH($X$7,$L$8:$O$8,0))</f>
        <v>1.2</v>
      </c>
      <c r="Y24" s="67">
        <f>INDEX($L24:$O24,MATCH($X$7,$L$8:$O$8,0))</f>
        <v>1</v>
      </c>
      <c r="Z24" s="31" t="str">
        <f t="shared" si="1"/>
        <v/>
      </c>
      <c r="AA24" s="66">
        <f>INDEX($L$23:$O$23,MATCH($AA$7,$L$8:$O$8,0))</f>
        <v>1.6</v>
      </c>
      <c r="AB24" s="67">
        <f>INDEX($L24:$O24,MATCH($AA$7,$L$8:$O$8,0))</f>
        <v>2</v>
      </c>
      <c r="AC24" s="31" t="str">
        <f t="shared" si="2"/>
        <v/>
      </c>
      <c r="AD24" s="66">
        <f>INDEX($L$23:$O$23,MATCH($AD$7,$L$8:$O$8,0))</f>
        <v>1.6</v>
      </c>
      <c r="AE24" s="67">
        <f>INDEX($L24:$O24,MATCH($AD$7,$L$8:$O$8,0))</f>
        <v>4</v>
      </c>
      <c r="AF24" s="32" t="str">
        <f t="shared" si="3"/>
        <v/>
      </c>
      <c r="AH24" s="2"/>
    </row>
    <row r="25" spans="2:56" ht="28.75" customHeight="1" outlineLevel="1">
      <c r="B25" s="78" t="s">
        <v>18</v>
      </c>
      <c r="C25" s="79"/>
      <c r="D25" s="79"/>
      <c r="E25" s="79"/>
      <c r="F25" s="79"/>
      <c r="G25" s="79"/>
      <c r="H25" s="79"/>
      <c r="I25" s="79"/>
      <c r="J25" s="79"/>
      <c r="K25" s="80"/>
      <c r="L25" s="29">
        <v>0</v>
      </c>
      <c r="M25" s="30">
        <v>1</v>
      </c>
      <c r="N25" s="30">
        <v>3</v>
      </c>
      <c r="O25" s="32">
        <v>4</v>
      </c>
      <c r="P25" s="20"/>
      <c r="Q25" s="62" t="s">
        <v>60</v>
      </c>
      <c r="R25" s="12"/>
      <c r="S25" s="6" t="s">
        <v>60</v>
      </c>
      <c r="T25" s="20"/>
      <c r="U25" s="66">
        <f>INDEX($L$23:$O$23,MATCH($U$7,$L$8:$O$8,0))</f>
        <v>0.6</v>
      </c>
      <c r="V25" s="67">
        <f>INDEX($L25:$O25,MATCH($U$7,$L$8:$O$8,0))</f>
        <v>0</v>
      </c>
      <c r="W25" s="31" t="str">
        <f t="shared" si="0"/>
        <v/>
      </c>
      <c r="X25" s="67">
        <f>INDEX($L$23:$O$23,MATCH($X$7,$L$8:$O$8,0))</f>
        <v>1.2</v>
      </c>
      <c r="Y25" s="67">
        <f>INDEX($L25:$O25,MATCH($X$7,$L$8:$O$8,0))</f>
        <v>1</v>
      </c>
      <c r="Z25" s="31" t="str">
        <f t="shared" si="1"/>
        <v/>
      </c>
      <c r="AA25" s="66">
        <f>INDEX($L$23:$O$23,MATCH($AA$7,$L$8:$O$8,0))</f>
        <v>1.6</v>
      </c>
      <c r="AB25" s="67">
        <f>INDEX($L25:$O25,MATCH($AA$7,$L$8:$O$8,0))</f>
        <v>3</v>
      </c>
      <c r="AC25" s="31" t="str">
        <f t="shared" si="2"/>
        <v/>
      </c>
      <c r="AD25" s="66">
        <f>INDEX($L$23:$O$23,MATCH($AD$7,$L$8:$O$8,0))</f>
        <v>1.6</v>
      </c>
      <c r="AE25" s="67">
        <f>INDEX($L25:$O25,MATCH($AD$7,$L$8:$O$8,0))</f>
        <v>4</v>
      </c>
      <c r="AF25" s="32" t="str">
        <f t="shared" si="3"/>
        <v/>
      </c>
      <c r="AH25" s="3"/>
    </row>
    <row r="26" spans="2:56" ht="28.75" customHeight="1" outlineLevel="1">
      <c r="B26" s="78" t="s">
        <v>23</v>
      </c>
      <c r="C26" s="79"/>
      <c r="D26" s="79"/>
      <c r="E26" s="79"/>
      <c r="F26" s="79"/>
      <c r="G26" s="79"/>
      <c r="H26" s="79"/>
      <c r="I26" s="79"/>
      <c r="J26" s="79"/>
      <c r="K26" s="80"/>
      <c r="L26" s="29">
        <v>0</v>
      </c>
      <c r="M26" s="30">
        <v>1</v>
      </c>
      <c r="N26" s="30">
        <v>2</v>
      </c>
      <c r="O26" s="32">
        <v>4</v>
      </c>
      <c r="P26" s="20"/>
      <c r="Q26" s="5" t="s">
        <v>60</v>
      </c>
      <c r="R26" s="12"/>
      <c r="S26" s="6" t="s">
        <v>60</v>
      </c>
      <c r="T26" s="20"/>
      <c r="U26" s="66">
        <f>INDEX($L$23:$O$23,MATCH($U$7,$L$8:$O$8,0))</f>
        <v>0.6</v>
      </c>
      <c r="V26" s="67">
        <f>INDEX($L26:$O26,MATCH($U$7,$L$8:$O$8,0))</f>
        <v>0</v>
      </c>
      <c r="W26" s="31" t="str">
        <f t="shared" si="0"/>
        <v/>
      </c>
      <c r="X26" s="67">
        <f>INDEX($L$23:$O$23,MATCH($X$7,$L$8:$O$8,0))</f>
        <v>1.2</v>
      </c>
      <c r="Y26" s="67">
        <f>INDEX($L26:$O26,MATCH($X$7,$L$8:$O$8,0))</f>
        <v>1</v>
      </c>
      <c r="Z26" s="31" t="str">
        <f t="shared" si="1"/>
        <v/>
      </c>
      <c r="AA26" s="66">
        <f>INDEX($L$23:$O$23,MATCH($AA$7,$L$8:$O$8,0))</f>
        <v>1.6</v>
      </c>
      <c r="AB26" s="67">
        <f>INDEX($L26:$O26,MATCH($AA$7,$L$8:$O$8,0))</f>
        <v>2</v>
      </c>
      <c r="AC26" s="31" t="str">
        <f t="shared" si="2"/>
        <v/>
      </c>
      <c r="AD26" s="66">
        <f>INDEX($L$23:$O$23,MATCH($AD$7,$L$8:$O$8,0))</f>
        <v>1.6</v>
      </c>
      <c r="AE26" s="67">
        <f>INDEX($L26:$O26,MATCH($AD$7,$L$8:$O$8,0))</f>
        <v>4</v>
      </c>
      <c r="AF26" s="32" t="str">
        <f t="shared" si="3"/>
        <v/>
      </c>
      <c r="AH26" s="1"/>
    </row>
    <row r="27" spans="2:56" ht="28.75" customHeight="1" outlineLevel="1">
      <c r="B27" s="78" t="s">
        <v>20</v>
      </c>
      <c r="C27" s="79"/>
      <c r="D27" s="79"/>
      <c r="E27" s="79"/>
      <c r="F27" s="79"/>
      <c r="G27" s="79"/>
      <c r="H27" s="79"/>
      <c r="I27" s="79"/>
      <c r="J27" s="79"/>
      <c r="K27" s="80"/>
      <c r="L27" s="29">
        <v>0</v>
      </c>
      <c r="M27" s="30">
        <v>1</v>
      </c>
      <c r="N27" s="30">
        <v>2</v>
      </c>
      <c r="O27" s="32">
        <v>4</v>
      </c>
      <c r="P27" s="20"/>
      <c r="Q27" s="61" t="s">
        <v>60</v>
      </c>
      <c r="R27" s="12"/>
      <c r="S27" s="6" t="s">
        <v>60</v>
      </c>
      <c r="T27" s="20"/>
      <c r="U27" s="66">
        <f>INDEX($L$23:$O$23,MATCH($U$7,$L$8:$O$8,0))</f>
        <v>0.6</v>
      </c>
      <c r="V27" s="67">
        <f>INDEX($L27:$O27,MATCH($U$7,$L$8:$O$8,0))</f>
        <v>0</v>
      </c>
      <c r="W27" s="31" t="str">
        <f t="shared" si="0"/>
        <v/>
      </c>
      <c r="X27" s="67">
        <f>INDEX($L$23:$O$23,MATCH($X$7,$L$8:$O$8,0))</f>
        <v>1.2</v>
      </c>
      <c r="Y27" s="67">
        <f>INDEX($L27:$O27,MATCH($X$7,$L$8:$O$8,0))</f>
        <v>1</v>
      </c>
      <c r="Z27" s="31" t="str">
        <f t="shared" si="1"/>
        <v/>
      </c>
      <c r="AA27" s="66">
        <f>INDEX($L$23:$O$23,MATCH($AA$7,$L$8:$O$8,0))</f>
        <v>1.6</v>
      </c>
      <c r="AB27" s="67">
        <f>INDEX($L27:$O27,MATCH($AA$7,$L$8:$O$8,0))</f>
        <v>2</v>
      </c>
      <c r="AC27" s="31" t="str">
        <f t="shared" si="2"/>
        <v/>
      </c>
      <c r="AD27" s="66">
        <f>INDEX($L$23:$O$23,MATCH($AD$7,$L$8:$O$8,0))</f>
        <v>1.6</v>
      </c>
      <c r="AE27" s="67">
        <f>INDEX($L27:$O27,MATCH($AD$7,$L$8:$O$8,0))</f>
        <v>4</v>
      </c>
      <c r="AF27" s="32" t="str">
        <f t="shared" si="3"/>
        <v/>
      </c>
      <c r="AH27" s="2"/>
    </row>
    <row r="28" spans="2:56" ht="28.75" customHeight="1" outlineLevel="1">
      <c r="B28" s="78" t="s">
        <v>45</v>
      </c>
      <c r="C28" s="79"/>
      <c r="D28" s="79"/>
      <c r="E28" s="79"/>
      <c r="F28" s="79"/>
      <c r="G28" s="79"/>
      <c r="H28" s="79"/>
      <c r="I28" s="79"/>
      <c r="J28" s="79"/>
      <c r="K28" s="80"/>
      <c r="L28" s="29">
        <v>0</v>
      </c>
      <c r="M28" s="30">
        <v>1</v>
      </c>
      <c r="N28" s="30">
        <v>3</v>
      </c>
      <c r="O28" s="32">
        <v>4</v>
      </c>
      <c r="P28" s="20"/>
      <c r="Q28" s="7" t="s">
        <v>60</v>
      </c>
      <c r="R28" s="12"/>
      <c r="S28" s="6" t="s">
        <v>60</v>
      </c>
      <c r="T28" s="20"/>
      <c r="U28" s="66">
        <f>INDEX($L$23:$O$23,MATCH($U$7,$L$8:$O$8,0))</f>
        <v>0.6</v>
      </c>
      <c r="V28" s="67">
        <f>INDEX($L28:$O28,MATCH($U$7,$L$8:$O$8,0))</f>
        <v>0</v>
      </c>
      <c r="W28" s="31" t="str">
        <f t="shared" si="0"/>
        <v/>
      </c>
      <c r="X28" s="67">
        <f>INDEX($L$23:$O$23,MATCH($X$7,$L$8:$O$8,0))</f>
        <v>1.2</v>
      </c>
      <c r="Y28" s="67">
        <f>INDEX($L28:$O28,MATCH($X$7,$L$8:$O$8,0))</f>
        <v>1</v>
      </c>
      <c r="Z28" s="31" t="str">
        <f t="shared" si="1"/>
        <v/>
      </c>
      <c r="AA28" s="66">
        <f>INDEX($L$23:$O$23,MATCH($AA$7,$L$8:$O$8,0))</f>
        <v>1.6</v>
      </c>
      <c r="AB28" s="67">
        <f>INDEX($L28:$O28,MATCH($AA$7,$L$8:$O$8,0))</f>
        <v>3</v>
      </c>
      <c r="AC28" s="31" t="str">
        <f t="shared" si="2"/>
        <v/>
      </c>
      <c r="AD28" s="66">
        <f>INDEX($L$23:$O$23,MATCH($AD$7,$L$8:$O$8,0))</f>
        <v>1.6</v>
      </c>
      <c r="AE28" s="67">
        <f>INDEX($L28:$O28,MATCH($AD$7,$L$8:$O$8,0))</f>
        <v>4</v>
      </c>
      <c r="AF28" s="32" t="str">
        <f t="shared" si="3"/>
        <v/>
      </c>
      <c r="AH28" s="3"/>
    </row>
    <row r="29" spans="2:56" ht="14.5" customHeight="1">
      <c r="B29" s="75" t="s">
        <v>17</v>
      </c>
      <c r="C29" s="76"/>
      <c r="D29" s="76"/>
      <c r="E29" s="76"/>
      <c r="F29" s="76"/>
      <c r="G29" s="76"/>
      <c r="H29" s="76"/>
      <c r="I29" s="76"/>
      <c r="J29" s="76"/>
      <c r="K29" s="77"/>
      <c r="L29" s="42">
        <v>0</v>
      </c>
      <c r="M29" s="46">
        <v>0.4</v>
      </c>
      <c r="N29" s="26">
        <v>1.4</v>
      </c>
      <c r="O29" s="44">
        <v>1.6</v>
      </c>
      <c r="P29" s="20"/>
      <c r="Q29" s="47"/>
      <c r="R29" s="20"/>
      <c r="S29" s="36"/>
      <c r="T29" s="20"/>
      <c r="U29" s="68"/>
      <c r="V29" s="69"/>
      <c r="W29" s="37" t="str">
        <f t="shared" si="0"/>
        <v/>
      </c>
      <c r="X29" s="69"/>
      <c r="Y29" s="69"/>
      <c r="Z29" s="37" t="str">
        <f t="shared" si="1"/>
        <v/>
      </c>
      <c r="AA29" s="68"/>
      <c r="AB29" s="69"/>
      <c r="AC29" s="37" t="str">
        <f t="shared" si="2"/>
        <v/>
      </c>
      <c r="AD29" s="68"/>
      <c r="AE29" s="69"/>
      <c r="AF29" s="38" t="str">
        <f t="shared" si="3"/>
        <v/>
      </c>
      <c r="AH29" s="45"/>
    </row>
    <row r="30" spans="2:56" ht="28.75" customHeight="1" outlineLevel="1">
      <c r="B30" s="78" t="s">
        <v>28</v>
      </c>
      <c r="C30" s="79"/>
      <c r="D30" s="79"/>
      <c r="E30" s="79"/>
      <c r="F30" s="79"/>
      <c r="G30" s="79"/>
      <c r="H30" s="79"/>
      <c r="I30" s="79"/>
      <c r="J30" s="79"/>
      <c r="K30" s="80"/>
      <c r="L30" s="29">
        <v>0</v>
      </c>
      <c r="M30" s="30">
        <v>1</v>
      </c>
      <c r="N30" s="30">
        <v>2</v>
      </c>
      <c r="O30" s="32">
        <v>2</v>
      </c>
      <c r="P30" s="20"/>
      <c r="Q30" s="61" t="s">
        <v>60</v>
      </c>
      <c r="R30" s="12"/>
      <c r="S30" s="6" t="s">
        <v>60</v>
      </c>
      <c r="T30" s="20"/>
      <c r="U30" s="66">
        <f>INDEX($L$29:$O$29,MATCH($U$7,$L$8:$O$8,0))</f>
        <v>0</v>
      </c>
      <c r="V30" s="67">
        <f>INDEX($L30:$O30,MATCH($U$7,$L$8:$O$8,0))</f>
        <v>0</v>
      </c>
      <c r="W30" s="31" t="str">
        <f t="shared" si="0"/>
        <v/>
      </c>
      <c r="X30" s="67">
        <f>INDEX($L$29:$O$29,MATCH($X$7,$L$8:$O$8,0))</f>
        <v>0.4</v>
      </c>
      <c r="Y30" s="67">
        <f>INDEX($L30:$O30,MATCH($X$7,$L$8:$O$8,0))</f>
        <v>1</v>
      </c>
      <c r="Z30" s="31" t="str">
        <f t="shared" si="1"/>
        <v/>
      </c>
      <c r="AA30" s="66">
        <f>INDEX($L$29:$O$29,MATCH($AA$7,$L$8:$O$8,0))</f>
        <v>1.4</v>
      </c>
      <c r="AB30" s="67">
        <f>INDEX($L30:$O30,MATCH($AA$7,$L$8:$O$8,0))</f>
        <v>2</v>
      </c>
      <c r="AC30" s="31" t="str">
        <f t="shared" si="2"/>
        <v/>
      </c>
      <c r="AD30" s="66">
        <f>INDEX($L$29:$O$29,MATCH($AD$7,$L$8:$O$8,0))</f>
        <v>1.6</v>
      </c>
      <c r="AE30" s="67">
        <f>INDEX($L30:$O30,MATCH($AD$7,$L$8:$O$8,0))</f>
        <v>2</v>
      </c>
      <c r="AF30" s="32" t="str">
        <f t="shared" si="3"/>
        <v/>
      </c>
      <c r="AH30" s="2"/>
    </row>
    <row r="31" spans="2:56" ht="28.75" customHeight="1" outlineLevel="1">
      <c r="B31" s="78" t="s">
        <v>31</v>
      </c>
      <c r="C31" s="79"/>
      <c r="D31" s="79"/>
      <c r="E31" s="79"/>
      <c r="F31" s="79"/>
      <c r="G31" s="79"/>
      <c r="H31" s="79"/>
      <c r="I31" s="79"/>
      <c r="J31" s="79"/>
      <c r="K31" s="80"/>
      <c r="L31" s="29">
        <v>0</v>
      </c>
      <c r="M31" s="30">
        <v>0</v>
      </c>
      <c r="N31" s="30">
        <v>2</v>
      </c>
      <c r="O31" s="32">
        <v>3</v>
      </c>
      <c r="P31" s="20"/>
      <c r="Q31" s="5" t="s">
        <v>60</v>
      </c>
      <c r="R31" s="12"/>
      <c r="S31" s="6" t="s">
        <v>60</v>
      </c>
      <c r="T31" s="20"/>
      <c r="U31" s="66">
        <f>INDEX($L$29:$O$29,MATCH($U$7,$L$8:$O$8,0))</f>
        <v>0</v>
      </c>
      <c r="V31" s="67">
        <f>INDEX($L31:$O31,MATCH($U$7,$L$8:$O$8,0))</f>
        <v>0</v>
      </c>
      <c r="W31" s="31" t="str">
        <f t="shared" si="0"/>
        <v/>
      </c>
      <c r="X31" s="67">
        <f>INDEX($L$29:$O$29,MATCH($X$7,$L$8:$O$8,0))</f>
        <v>0.4</v>
      </c>
      <c r="Y31" s="67">
        <f>INDEX($L31:$O31,MATCH($X$7,$L$8:$O$8,0))</f>
        <v>0</v>
      </c>
      <c r="Z31" s="31" t="str">
        <f t="shared" si="1"/>
        <v/>
      </c>
      <c r="AA31" s="66">
        <f>INDEX($L$29:$O$29,MATCH($AA$7,$L$8:$O$8,0))</f>
        <v>1.4</v>
      </c>
      <c r="AB31" s="67">
        <f>INDEX($L31:$O31,MATCH($AA$7,$L$8:$O$8,0))</f>
        <v>2</v>
      </c>
      <c r="AC31" s="31" t="str">
        <f t="shared" si="2"/>
        <v/>
      </c>
      <c r="AD31" s="66">
        <f>INDEX($L$29:$O$29,MATCH($AD$7,$L$8:$O$8,0))</f>
        <v>1.6</v>
      </c>
      <c r="AE31" s="67">
        <f>INDEX($L31:$O31,MATCH($AD$7,$L$8:$O$8,0))</f>
        <v>3</v>
      </c>
      <c r="AF31" s="32" t="str">
        <f t="shared" si="3"/>
        <v/>
      </c>
      <c r="AH31" s="3"/>
    </row>
    <row r="32" spans="2:56" ht="28.75" customHeight="1" outlineLevel="1">
      <c r="B32" s="78" t="s">
        <v>27</v>
      </c>
      <c r="C32" s="79"/>
      <c r="D32" s="79"/>
      <c r="E32" s="79"/>
      <c r="F32" s="79"/>
      <c r="G32" s="79"/>
      <c r="H32" s="79"/>
      <c r="I32" s="79"/>
      <c r="J32" s="79"/>
      <c r="K32" s="80"/>
      <c r="L32" s="29">
        <v>0</v>
      </c>
      <c r="M32" s="30">
        <v>0</v>
      </c>
      <c r="N32" s="30">
        <v>2</v>
      </c>
      <c r="O32" s="32">
        <v>2</v>
      </c>
      <c r="P32" s="20"/>
      <c r="Q32" s="5" t="s">
        <v>60</v>
      </c>
      <c r="R32" s="12"/>
      <c r="S32" s="6" t="s">
        <v>60</v>
      </c>
      <c r="T32" s="20"/>
      <c r="U32" s="66">
        <f>INDEX($L$29:$O$29,MATCH($U$7,$L$8:$O$8,0))</f>
        <v>0</v>
      </c>
      <c r="V32" s="67">
        <f>INDEX($L32:$O32,MATCH($U$7,$L$8:$O$8,0))</f>
        <v>0</v>
      </c>
      <c r="W32" s="31" t="str">
        <f t="shared" si="0"/>
        <v/>
      </c>
      <c r="X32" s="67">
        <f>INDEX($L$29:$O$29,MATCH($X$7,$L$8:$O$8,0))</f>
        <v>0.4</v>
      </c>
      <c r="Y32" s="67">
        <f>INDEX($L32:$O32,MATCH($X$7,$L$8:$O$8,0))</f>
        <v>0</v>
      </c>
      <c r="Z32" s="31" t="str">
        <f t="shared" si="1"/>
        <v/>
      </c>
      <c r="AA32" s="66">
        <f>INDEX($L$29:$O$29,MATCH($AA$7,$L$8:$O$8,0))</f>
        <v>1.4</v>
      </c>
      <c r="AB32" s="67">
        <f>INDEX($L32:$O32,MATCH($AA$7,$L$8:$O$8,0))</f>
        <v>2</v>
      </c>
      <c r="AC32" s="31" t="str">
        <f t="shared" si="2"/>
        <v/>
      </c>
      <c r="AD32" s="66">
        <f>INDEX($L$29:$O$29,MATCH($AD$7,$L$8:$O$8,0))</f>
        <v>1.6</v>
      </c>
      <c r="AE32" s="67">
        <f>INDEX($L32:$O32,MATCH($AD$7,$L$8:$O$8,0))</f>
        <v>2</v>
      </c>
      <c r="AF32" s="32" t="str">
        <f t="shared" si="3"/>
        <v/>
      </c>
      <c r="AH32" s="1"/>
    </row>
    <row r="33" spans="2:34" ht="28.75" customHeight="1" outlineLevel="1">
      <c r="B33" s="78" t="s">
        <v>44</v>
      </c>
      <c r="C33" s="79"/>
      <c r="D33" s="79"/>
      <c r="E33" s="79"/>
      <c r="F33" s="79"/>
      <c r="G33" s="79"/>
      <c r="H33" s="79"/>
      <c r="I33" s="79"/>
      <c r="J33" s="79"/>
      <c r="K33" s="80"/>
      <c r="L33" s="29">
        <v>0</v>
      </c>
      <c r="M33" s="30">
        <v>0</v>
      </c>
      <c r="N33" s="48">
        <v>1</v>
      </c>
      <c r="O33" s="49">
        <v>1</v>
      </c>
      <c r="P33" s="20"/>
      <c r="Q33" s="7" t="s">
        <v>60</v>
      </c>
      <c r="R33" s="12"/>
      <c r="S33" s="6" t="s">
        <v>60</v>
      </c>
      <c r="T33" s="20"/>
      <c r="U33" s="66">
        <f>INDEX($L$29:$O$29,MATCH($U$7,$L$8:$O$8,0))</f>
        <v>0</v>
      </c>
      <c r="V33" s="67">
        <f>INDEX($L33:$O33,MATCH($U$7,$L$8:$O$8,0))</f>
        <v>0</v>
      </c>
      <c r="W33" s="31" t="str">
        <f t="shared" si="0"/>
        <v/>
      </c>
      <c r="X33" s="67">
        <f>INDEX($L$29:$O$29,MATCH($X$7,$L$8:$O$8,0))</f>
        <v>0.4</v>
      </c>
      <c r="Y33" s="67">
        <f>INDEX($L33:$O33,MATCH($X$7,$L$8:$O$8,0))</f>
        <v>0</v>
      </c>
      <c r="Z33" s="31" t="str">
        <f t="shared" si="1"/>
        <v/>
      </c>
      <c r="AA33" s="66">
        <f>INDEX($L$29:$O$29,MATCH($AA$7,$L$8:$O$8,0))</f>
        <v>1.4</v>
      </c>
      <c r="AB33" s="67">
        <f>INDEX($L33:$O33,MATCH($AA$7,$L$8:$O$8,0))</f>
        <v>1</v>
      </c>
      <c r="AC33" s="31" t="str">
        <f t="shared" si="2"/>
        <v/>
      </c>
      <c r="AD33" s="66">
        <f>INDEX($L$29:$O$29,MATCH($AD$7,$L$8:$O$8,0))</f>
        <v>1.6</v>
      </c>
      <c r="AE33" s="67">
        <f>INDEX($L33:$O33,MATCH($AD$7,$L$8:$O$8,0))</f>
        <v>1</v>
      </c>
      <c r="AF33" s="32" t="str">
        <f t="shared" si="3"/>
        <v/>
      </c>
      <c r="AH33" s="1"/>
    </row>
    <row r="34" spans="2:34" ht="14.5" customHeight="1">
      <c r="B34" s="169" t="s">
        <v>12</v>
      </c>
      <c r="C34" s="170"/>
      <c r="D34" s="170"/>
      <c r="E34" s="170"/>
      <c r="F34" s="170"/>
      <c r="G34" s="170"/>
      <c r="H34" s="170"/>
      <c r="I34" s="170"/>
      <c r="J34" s="170"/>
      <c r="K34" s="171"/>
      <c r="L34" s="169"/>
      <c r="M34" s="170"/>
      <c r="N34" s="170"/>
      <c r="O34" s="171"/>
      <c r="P34" s="20"/>
      <c r="Q34" s="140"/>
      <c r="R34" s="20"/>
      <c r="S34" s="140"/>
      <c r="T34" s="20"/>
      <c r="U34" s="130"/>
      <c r="V34" s="130"/>
      <c r="W34" s="134" t="str">
        <f t="shared" si="0"/>
        <v/>
      </c>
      <c r="X34" s="139"/>
      <c r="Y34" s="130"/>
      <c r="Z34" s="134" t="str">
        <f t="shared" si="1"/>
        <v/>
      </c>
      <c r="AA34" s="130"/>
      <c r="AB34" s="130"/>
      <c r="AC34" s="134" t="str">
        <f t="shared" si="2"/>
        <v/>
      </c>
      <c r="AD34" s="130"/>
      <c r="AE34" s="130"/>
      <c r="AF34" s="131" t="str">
        <f t="shared" si="3"/>
        <v/>
      </c>
      <c r="AH34" s="125"/>
    </row>
    <row r="35" spans="2:34" ht="14.5" customHeight="1">
      <c r="B35" s="75" t="s">
        <v>9</v>
      </c>
      <c r="C35" s="76"/>
      <c r="D35" s="76"/>
      <c r="E35" s="76"/>
      <c r="F35" s="76"/>
      <c r="G35" s="76"/>
      <c r="H35" s="76"/>
      <c r="I35" s="76"/>
      <c r="J35" s="76"/>
      <c r="K35" s="77"/>
      <c r="L35" s="50">
        <v>1.8</v>
      </c>
      <c r="M35" s="26">
        <v>1.6</v>
      </c>
      <c r="N35" s="46">
        <v>0.6</v>
      </c>
      <c r="O35" s="51">
        <v>0.4</v>
      </c>
      <c r="P35" s="20"/>
      <c r="Q35" s="133"/>
      <c r="R35" s="20"/>
      <c r="S35" s="133"/>
      <c r="T35" s="20"/>
      <c r="U35" s="127"/>
      <c r="V35" s="127"/>
      <c r="W35" s="135"/>
      <c r="X35" s="138"/>
      <c r="Y35" s="127"/>
      <c r="Z35" s="135"/>
      <c r="AA35" s="127"/>
      <c r="AB35" s="127"/>
      <c r="AC35" s="135"/>
      <c r="AD35" s="127"/>
      <c r="AE35" s="127"/>
      <c r="AF35" s="129"/>
      <c r="AH35" s="124"/>
    </row>
    <row r="36" spans="2:34" ht="28.75" customHeight="1" outlineLevel="1">
      <c r="B36" s="78" t="s">
        <v>33</v>
      </c>
      <c r="C36" s="79"/>
      <c r="D36" s="79"/>
      <c r="E36" s="79"/>
      <c r="F36" s="79"/>
      <c r="G36" s="79"/>
      <c r="H36" s="79"/>
      <c r="I36" s="79"/>
      <c r="J36" s="79"/>
      <c r="K36" s="80"/>
      <c r="L36" s="29">
        <v>1</v>
      </c>
      <c r="M36" s="30">
        <v>2</v>
      </c>
      <c r="N36" s="30">
        <v>3</v>
      </c>
      <c r="O36" s="32">
        <v>4</v>
      </c>
      <c r="P36" s="20"/>
      <c r="Q36" s="61" t="s">
        <v>60</v>
      </c>
      <c r="R36" s="20"/>
      <c r="S36" s="7" t="s">
        <v>60</v>
      </c>
      <c r="T36" s="20"/>
      <c r="U36" s="66">
        <f>INDEX($L$35:$O$35,MATCH($U$7,$L$8:$O$8,0))</f>
        <v>1.8</v>
      </c>
      <c r="V36" s="67">
        <f>INDEX($L36:$O36,MATCH($U$7,$L$8:$O$8,0))</f>
        <v>1</v>
      </c>
      <c r="W36" s="31" t="str">
        <f t="shared" si="0"/>
        <v/>
      </c>
      <c r="X36" s="67">
        <f>INDEX($L$35:$O$35,MATCH($X$7,$L$8:$O$8,0))</f>
        <v>1.6</v>
      </c>
      <c r="Y36" s="67">
        <f>INDEX($L36:$O36,MATCH($X$7,$L$8:$O$8,0))</f>
        <v>2</v>
      </c>
      <c r="Z36" s="31" t="str">
        <f t="shared" si="1"/>
        <v/>
      </c>
      <c r="AA36" s="66">
        <f>INDEX($L$35:$O$35,MATCH($AA$7,$L$8:$O$8,0))</f>
        <v>0.6</v>
      </c>
      <c r="AB36" s="67">
        <f>INDEX($L36:$O36,MATCH($AA$7,$L$8:$O$8,0))</f>
        <v>3</v>
      </c>
      <c r="AC36" s="31" t="str">
        <f t="shared" si="2"/>
        <v/>
      </c>
      <c r="AD36" s="66">
        <f>INDEX($L$35:$O$35,MATCH($AD$7,$L$8:$O$8,0))</f>
        <v>0.4</v>
      </c>
      <c r="AE36" s="67">
        <f>INDEX($L36:$O36,MATCH($AD$7,$L$8:$O$8,0))</f>
        <v>4</v>
      </c>
      <c r="AF36" s="32" t="str">
        <f t="shared" si="3"/>
        <v/>
      </c>
      <c r="AH36" s="1"/>
    </row>
    <row r="37" spans="2:34" ht="28.75" customHeight="1" outlineLevel="1">
      <c r="B37" s="78" t="s">
        <v>34</v>
      </c>
      <c r="C37" s="79"/>
      <c r="D37" s="79"/>
      <c r="E37" s="79"/>
      <c r="F37" s="79"/>
      <c r="G37" s="79"/>
      <c r="H37" s="79"/>
      <c r="I37" s="79"/>
      <c r="J37" s="79"/>
      <c r="K37" s="80"/>
      <c r="L37" s="29">
        <v>1</v>
      </c>
      <c r="M37" s="30">
        <v>2</v>
      </c>
      <c r="N37" s="30">
        <v>3</v>
      </c>
      <c r="O37" s="32">
        <v>4</v>
      </c>
      <c r="P37" s="20"/>
      <c r="Q37" s="7" t="s">
        <v>60</v>
      </c>
      <c r="R37" s="20"/>
      <c r="S37" s="7" t="s">
        <v>60</v>
      </c>
      <c r="T37" s="20"/>
      <c r="U37" s="66">
        <f>INDEX($L$35:$O$35,MATCH($U$7,$L$8:$O$8,0))</f>
        <v>1.8</v>
      </c>
      <c r="V37" s="67">
        <f>INDEX($L37:$O37,MATCH($U$7,$L$8:$O$8,0))</f>
        <v>1</v>
      </c>
      <c r="W37" s="31" t="str">
        <f t="shared" si="0"/>
        <v/>
      </c>
      <c r="X37" s="67">
        <f>INDEX($L$35:$O$35,MATCH($X$7,$L$8:$O$8,0))</f>
        <v>1.6</v>
      </c>
      <c r="Y37" s="67">
        <f>INDEX($L37:$O37,MATCH($X$7,$L$8:$O$8,0))</f>
        <v>2</v>
      </c>
      <c r="Z37" s="31" t="str">
        <f t="shared" si="1"/>
        <v/>
      </c>
      <c r="AA37" s="66">
        <f>INDEX($L$35:$O$35,MATCH($AA$7,$L$8:$O$8,0))</f>
        <v>0.6</v>
      </c>
      <c r="AB37" s="67">
        <f>INDEX($L37:$O37,MATCH($AA$7,$L$8:$O$8,0))</f>
        <v>3</v>
      </c>
      <c r="AC37" s="31" t="str">
        <f t="shared" si="2"/>
        <v/>
      </c>
      <c r="AD37" s="66">
        <f>INDEX($L$35:$O$35,MATCH($AD$7,$L$8:$O$8,0))</f>
        <v>0.4</v>
      </c>
      <c r="AE37" s="67">
        <f>INDEX($L37:$O37,MATCH($AD$7,$L$8:$O$8,0))</f>
        <v>4</v>
      </c>
      <c r="AF37" s="32" t="str">
        <f t="shared" si="3"/>
        <v/>
      </c>
      <c r="AH37" s="1"/>
    </row>
    <row r="38" spans="2:34" ht="28.75" customHeight="1" outlineLevel="1">
      <c r="B38" s="78" t="s">
        <v>35</v>
      </c>
      <c r="C38" s="79"/>
      <c r="D38" s="79"/>
      <c r="E38" s="79"/>
      <c r="F38" s="79"/>
      <c r="G38" s="79"/>
      <c r="H38" s="79"/>
      <c r="I38" s="79"/>
      <c r="J38" s="79"/>
      <c r="K38" s="80"/>
      <c r="L38" s="29">
        <v>1</v>
      </c>
      <c r="M38" s="30">
        <v>2</v>
      </c>
      <c r="N38" s="30">
        <v>3</v>
      </c>
      <c r="O38" s="32">
        <v>4</v>
      </c>
      <c r="P38" s="20"/>
      <c r="Q38" s="7" t="s">
        <v>60</v>
      </c>
      <c r="R38" s="20"/>
      <c r="S38" s="5" t="s">
        <v>60</v>
      </c>
      <c r="T38" s="20"/>
      <c r="U38" s="66">
        <f>INDEX($L$35:$O$35,MATCH($U$7,$L$8:$O$8,0))</f>
        <v>1.8</v>
      </c>
      <c r="V38" s="67">
        <f>INDEX($L38:$O38,MATCH($U$7,$L$8:$O$8,0))</f>
        <v>1</v>
      </c>
      <c r="W38" s="31" t="str">
        <f t="shared" si="0"/>
        <v/>
      </c>
      <c r="X38" s="67">
        <f>INDEX($L$35:$O$35,MATCH($X$7,$L$8:$O$8,0))</f>
        <v>1.6</v>
      </c>
      <c r="Y38" s="67">
        <f>INDEX($L38:$O38,MATCH($X$7,$L$8:$O$8,0))</f>
        <v>2</v>
      </c>
      <c r="Z38" s="31" t="str">
        <f t="shared" si="1"/>
        <v/>
      </c>
      <c r="AA38" s="66">
        <f>INDEX($L$35:$O$35,MATCH($AA$7,$L$8:$O$8,0))</f>
        <v>0.6</v>
      </c>
      <c r="AB38" s="67">
        <f>INDEX($L38:$O38,MATCH($AA$7,$L$8:$O$8,0))</f>
        <v>3</v>
      </c>
      <c r="AC38" s="31" t="str">
        <f t="shared" si="2"/>
        <v/>
      </c>
      <c r="AD38" s="66">
        <f>INDEX($L$35:$O$35,MATCH($AD$7,$L$8:$O$8,0))</f>
        <v>0.4</v>
      </c>
      <c r="AE38" s="67">
        <f>INDEX($L38:$O38,MATCH($AD$7,$L$8:$O$8,0))</f>
        <v>4</v>
      </c>
      <c r="AF38" s="32" t="str">
        <f t="shared" si="3"/>
        <v/>
      </c>
      <c r="AH38" s="1"/>
    </row>
    <row r="39" spans="2:34" ht="14.5" customHeight="1">
      <c r="B39" s="75" t="s">
        <v>10</v>
      </c>
      <c r="C39" s="76"/>
      <c r="D39" s="76"/>
      <c r="E39" s="76"/>
      <c r="F39" s="76"/>
      <c r="G39" s="76"/>
      <c r="H39" s="76"/>
      <c r="I39" s="76"/>
      <c r="J39" s="76"/>
      <c r="K39" s="77"/>
      <c r="L39" s="33">
        <v>1.4</v>
      </c>
      <c r="M39" s="34">
        <v>1.8</v>
      </c>
      <c r="N39" s="26">
        <v>1.4</v>
      </c>
      <c r="O39" s="35">
        <v>1</v>
      </c>
      <c r="P39" s="20"/>
      <c r="Q39" s="36"/>
      <c r="R39" s="12"/>
      <c r="S39" s="52"/>
      <c r="T39" s="20"/>
      <c r="U39" s="68"/>
      <c r="V39" s="69"/>
      <c r="W39" s="37" t="str">
        <f t="shared" si="0"/>
        <v/>
      </c>
      <c r="X39" s="69"/>
      <c r="Y39" s="69"/>
      <c r="Z39" s="37" t="str">
        <f t="shared" si="1"/>
        <v/>
      </c>
      <c r="AA39" s="68"/>
      <c r="AB39" s="69"/>
      <c r="AC39" s="37" t="str">
        <f t="shared" si="2"/>
        <v/>
      </c>
      <c r="AD39" s="68"/>
      <c r="AE39" s="69"/>
      <c r="AF39" s="38" t="str">
        <f t="shared" si="3"/>
        <v/>
      </c>
      <c r="AH39" s="39"/>
    </row>
    <row r="40" spans="2:34" ht="28.75" customHeight="1" outlineLevel="1">
      <c r="B40" s="78" t="s">
        <v>36</v>
      </c>
      <c r="C40" s="79"/>
      <c r="D40" s="79"/>
      <c r="E40" s="79"/>
      <c r="F40" s="79"/>
      <c r="G40" s="79"/>
      <c r="H40" s="79"/>
      <c r="I40" s="79"/>
      <c r="J40" s="79"/>
      <c r="K40" s="80"/>
      <c r="L40" s="29">
        <v>1</v>
      </c>
      <c r="M40" s="30">
        <v>2</v>
      </c>
      <c r="N40" s="30">
        <v>3</v>
      </c>
      <c r="O40" s="32">
        <v>4</v>
      </c>
      <c r="P40" s="20"/>
      <c r="Q40" s="5" t="s">
        <v>60</v>
      </c>
      <c r="R40" s="20"/>
      <c r="S40" s="7" t="s">
        <v>60</v>
      </c>
      <c r="T40" s="20"/>
      <c r="U40" s="66">
        <f>INDEX($L$39:$O$39,MATCH($U$7,$L$8:$O$8,0))</f>
        <v>1.4</v>
      </c>
      <c r="V40" s="67">
        <f>INDEX($L40:$O40,MATCH($U$7,$L$8:$O$8,0))</f>
        <v>1</v>
      </c>
      <c r="W40" s="31" t="str">
        <f t="shared" si="0"/>
        <v/>
      </c>
      <c r="X40" s="67">
        <f>INDEX($L$39:$O$39,MATCH($X$7,$L$8:$O$8,0))</f>
        <v>1.8</v>
      </c>
      <c r="Y40" s="67">
        <f>INDEX($L40:$O40,MATCH($X$7,$L$8:$O$8,0))</f>
        <v>2</v>
      </c>
      <c r="Z40" s="31" t="str">
        <f t="shared" si="1"/>
        <v/>
      </c>
      <c r="AA40" s="66">
        <f>INDEX($L$39:$O$39,MATCH($AA$7,$L$8:$O$8,0))</f>
        <v>1.4</v>
      </c>
      <c r="AB40" s="67">
        <f>INDEX($L40:$O40,MATCH($AA$7,$L$8:$O$8,0))</f>
        <v>3</v>
      </c>
      <c r="AC40" s="31" t="str">
        <f t="shared" si="2"/>
        <v/>
      </c>
      <c r="AD40" s="66">
        <f>INDEX($L$39:$O$39,MATCH($AD$7,$L$8:$O$8,0))</f>
        <v>1</v>
      </c>
      <c r="AE40" s="67">
        <f>INDEX($L40:$O40,MATCH($AD$7,$L$8:$O$8,0))</f>
        <v>4</v>
      </c>
      <c r="AF40" s="32" t="str">
        <f t="shared" si="3"/>
        <v/>
      </c>
      <c r="AH40" s="2"/>
    </row>
    <row r="41" spans="2:34" ht="28.75" customHeight="1" outlineLevel="1">
      <c r="B41" s="78" t="s">
        <v>37</v>
      </c>
      <c r="C41" s="79"/>
      <c r="D41" s="79"/>
      <c r="E41" s="79"/>
      <c r="F41" s="79"/>
      <c r="G41" s="79"/>
      <c r="H41" s="79"/>
      <c r="I41" s="79"/>
      <c r="J41" s="79"/>
      <c r="K41" s="80"/>
      <c r="L41" s="29">
        <v>0</v>
      </c>
      <c r="M41" s="30">
        <v>2</v>
      </c>
      <c r="N41" s="30">
        <v>3</v>
      </c>
      <c r="O41" s="32">
        <v>4</v>
      </c>
      <c r="P41" s="20"/>
      <c r="Q41" s="5" t="s">
        <v>60</v>
      </c>
      <c r="R41" s="20"/>
      <c r="S41" s="7" t="s">
        <v>60</v>
      </c>
      <c r="T41" s="20"/>
      <c r="U41" s="66">
        <f>INDEX($L$39:$O$39,MATCH($U$7,$L$8:$O$8,0))</f>
        <v>1.4</v>
      </c>
      <c r="V41" s="67">
        <f>INDEX($L41:$O41,MATCH($U$7,$L$8:$O$8,0))</f>
        <v>0</v>
      </c>
      <c r="W41" s="31" t="str">
        <f t="shared" si="0"/>
        <v/>
      </c>
      <c r="X41" s="67">
        <f>INDEX($L$39:$O$39,MATCH($X$7,$L$8:$O$8,0))</f>
        <v>1.8</v>
      </c>
      <c r="Y41" s="67">
        <f>INDEX($L41:$O41,MATCH($X$7,$L$8:$O$8,0))</f>
        <v>2</v>
      </c>
      <c r="Z41" s="31" t="str">
        <f t="shared" si="1"/>
        <v/>
      </c>
      <c r="AA41" s="66">
        <f>INDEX($L$39:$O$39,MATCH($AA$7,$L$8:$O$8,0))</f>
        <v>1.4</v>
      </c>
      <c r="AB41" s="67">
        <f>INDEX($L41:$O41,MATCH($AA$7,$L$8:$O$8,0))</f>
        <v>3</v>
      </c>
      <c r="AC41" s="31" t="str">
        <f t="shared" si="2"/>
        <v/>
      </c>
      <c r="AD41" s="66">
        <f>INDEX($L$39:$O$39,MATCH($AD$7,$L$8:$O$8,0))</f>
        <v>1</v>
      </c>
      <c r="AE41" s="67">
        <f>INDEX($L41:$O41,MATCH($AD$7,$L$8:$O$8,0))</f>
        <v>4</v>
      </c>
      <c r="AF41" s="32" t="str">
        <f t="shared" si="3"/>
        <v/>
      </c>
      <c r="AH41" s="3"/>
    </row>
    <row r="42" spans="2:34" ht="28.75" customHeight="1" outlineLevel="1">
      <c r="B42" s="78" t="s">
        <v>48</v>
      </c>
      <c r="C42" s="79"/>
      <c r="D42" s="79"/>
      <c r="E42" s="79"/>
      <c r="F42" s="79"/>
      <c r="G42" s="79"/>
      <c r="H42" s="79"/>
      <c r="I42" s="79"/>
      <c r="J42" s="79"/>
      <c r="K42" s="80"/>
      <c r="L42" s="29">
        <v>0</v>
      </c>
      <c r="M42" s="30">
        <v>1</v>
      </c>
      <c r="N42" s="30">
        <v>3</v>
      </c>
      <c r="O42" s="32">
        <v>4</v>
      </c>
      <c r="P42" s="20"/>
      <c r="Q42" s="5" t="s">
        <v>60</v>
      </c>
      <c r="R42" s="20"/>
      <c r="S42" s="7" t="s">
        <v>60</v>
      </c>
      <c r="T42" s="20"/>
      <c r="U42" s="66">
        <f>INDEX($L$39:$O$39,MATCH($U$7,$L$8:$O$8,0))</f>
        <v>1.4</v>
      </c>
      <c r="V42" s="67">
        <f>INDEX($L42:$O42,MATCH($U$7,$L$8:$O$8,0))</f>
        <v>0</v>
      </c>
      <c r="W42" s="31" t="str">
        <f t="shared" si="0"/>
        <v/>
      </c>
      <c r="X42" s="67">
        <f>INDEX($L$39:$O$39,MATCH($X$7,$L$8:$O$8,0))</f>
        <v>1.8</v>
      </c>
      <c r="Y42" s="67">
        <f>INDEX($L42:$O42,MATCH($X$7,$L$8:$O$8,0))</f>
        <v>1</v>
      </c>
      <c r="Z42" s="31" t="str">
        <f t="shared" si="1"/>
        <v/>
      </c>
      <c r="AA42" s="66">
        <f>INDEX($L$39:$O$39,MATCH($AA$7,$L$8:$O$8,0))</f>
        <v>1.4</v>
      </c>
      <c r="AB42" s="67">
        <f>INDEX($L42:$O42,MATCH($AA$7,$L$8:$O$8,0))</f>
        <v>3</v>
      </c>
      <c r="AC42" s="31" t="str">
        <f t="shared" si="2"/>
        <v/>
      </c>
      <c r="AD42" s="66">
        <f>INDEX($L$39:$O$39,MATCH($AD$7,$L$8:$O$8,0))</f>
        <v>1</v>
      </c>
      <c r="AE42" s="67">
        <f>INDEX($L42:$O42,MATCH($AD$7,$L$8:$O$8,0))</f>
        <v>4</v>
      </c>
      <c r="AF42" s="32" t="str">
        <f t="shared" si="3"/>
        <v/>
      </c>
      <c r="AH42" s="1"/>
    </row>
    <row r="43" spans="2:34" ht="14.5" customHeight="1">
      <c r="B43" s="75" t="s">
        <v>11</v>
      </c>
      <c r="C43" s="76"/>
      <c r="D43" s="76"/>
      <c r="E43" s="76"/>
      <c r="F43" s="76"/>
      <c r="G43" s="76"/>
      <c r="H43" s="76"/>
      <c r="I43" s="76"/>
      <c r="J43" s="76"/>
      <c r="K43" s="77"/>
      <c r="L43" s="42">
        <v>0</v>
      </c>
      <c r="M43" s="43">
        <v>1.2</v>
      </c>
      <c r="N43" s="34">
        <v>1.8</v>
      </c>
      <c r="O43" s="53">
        <v>1.8</v>
      </c>
      <c r="P43" s="20"/>
      <c r="Q43" s="36"/>
      <c r="R43" s="20"/>
      <c r="S43" s="36"/>
      <c r="T43" s="20"/>
      <c r="U43" s="68"/>
      <c r="V43" s="69"/>
      <c r="W43" s="37" t="str">
        <f t="shared" si="0"/>
        <v/>
      </c>
      <c r="X43" s="69"/>
      <c r="Y43" s="69"/>
      <c r="Z43" s="37" t="str">
        <f t="shared" si="1"/>
        <v/>
      </c>
      <c r="AA43" s="68"/>
      <c r="AB43" s="69"/>
      <c r="AC43" s="37" t="str">
        <f t="shared" si="2"/>
        <v/>
      </c>
      <c r="AD43" s="68"/>
      <c r="AE43" s="69"/>
      <c r="AF43" s="38" t="str">
        <f t="shared" si="3"/>
        <v/>
      </c>
      <c r="AH43" s="39"/>
    </row>
    <row r="44" spans="2:34" ht="28.75" customHeight="1" outlineLevel="1">
      <c r="B44" s="78" t="s">
        <v>38</v>
      </c>
      <c r="C44" s="79"/>
      <c r="D44" s="79"/>
      <c r="E44" s="79"/>
      <c r="F44" s="79"/>
      <c r="G44" s="79"/>
      <c r="H44" s="79"/>
      <c r="I44" s="79"/>
      <c r="J44" s="79"/>
      <c r="K44" s="80"/>
      <c r="L44" s="29">
        <v>0</v>
      </c>
      <c r="M44" s="30">
        <v>1</v>
      </c>
      <c r="N44" s="30">
        <v>2</v>
      </c>
      <c r="O44" s="32">
        <v>3</v>
      </c>
      <c r="P44" s="20"/>
      <c r="Q44" s="5" t="s">
        <v>60</v>
      </c>
      <c r="R44" s="20"/>
      <c r="S44" s="7" t="s">
        <v>60</v>
      </c>
      <c r="T44" s="20"/>
      <c r="U44" s="66">
        <f>INDEX($L$43:$O$43,MATCH($U$7,$L$8:$O$8,0))</f>
        <v>0</v>
      </c>
      <c r="V44" s="67">
        <f>INDEX($L44:$O44,MATCH($U$7,$L$8:$O$8,0))</f>
        <v>0</v>
      </c>
      <c r="W44" s="31" t="str">
        <f t="shared" si="0"/>
        <v/>
      </c>
      <c r="X44" s="67">
        <f>INDEX($L$43:$O$43,MATCH($X$7,$L$8:$O$8,0))</f>
        <v>1.2</v>
      </c>
      <c r="Y44" s="67">
        <f>INDEX($L44:$O44,MATCH($X$7,$L$8:$O$8,0))</f>
        <v>1</v>
      </c>
      <c r="Z44" s="31" t="str">
        <f t="shared" si="1"/>
        <v/>
      </c>
      <c r="AA44" s="66">
        <f>INDEX($L$43:$O$43,MATCH($AA$7,$L$8:$O$8,0))</f>
        <v>1.8</v>
      </c>
      <c r="AB44" s="67">
        <f>INDEX($L44:$O44,MATCH($AA$7,$L$8:$O$8,0))</f>
        <v>2</v>
      </c>
      <c r="AC44" s="31" t="str">
        <f t="shared" si="2"/>
        <v/>
      </c>
      <c r="AD44" s="66">
        <f>INDEX($L$43:$O$43,MATCH($AD$7,$L$8:$O$8,0))</f>
        <v>1.8</v>
      </c>
      <c r="AE44" s="67">
        <f>INDEX($L44:$O44,MATCH($AD$7,$L$8:$O$8,0))</f>
        <v>3</v>
      </c>
      <c r="AF44" s="32" t="str">
        <f t="shared" si="3"/>
        <v/>
      </c>
      <c r="AH44" s="1"/>
    </row>
    <row r="45" spans="2:34" ht="28.75" customHeight="1" outlineLevel="1">
      <c r="B45" s="78" t="s">
        <v>39</v>
      </c>
      <c r="C45" s="79"/>
      <c r="D45" s="79"/>
      <c r="E45" s="79"/>
      <c r="F45" s="79"/>
      <c r="G45" s="79"/>
      <c r="H45" s="79"/>
      <c r="I45" s="79"/>
      <c r="J45" s="79"/>
      <c r="K45" s="80"/>
      <c r="L45" s="29">
        <v>0</v>
      </c>
      <c r="M45" s="30">
        <v>1</v>
      </c>
      <c r="N45" s="30">
        <v>3</v>
      </c>
      <c r="O45" s="32">
        <v>4</v>
      </c>
      <c r="P45" s="20"/>
      <c r="Q45" s="61" t="s">
        <v>60</v>
      </c>
      <c r="R45" s="20"/>
      <c r="S45" s="7" t="s">
        <v>60</v>
      </c>
      <c r="T45" s="20"/>
      <c r="U45" s="66">
        <f>INDEX($L$43:$O$43,MATCH($U$7,$L$8:$O$8,0))</f>
        <v>0</v>
      </c>
      <c r="V45" s="67">
        <f>INDEX($L45:$O45,MATCH($U$7,$L$8:$O$8,0))</f>
        <v>0</v>
      </c>
      <c r="W45" s="31" t="str">
        <f t="shared" si="0"/>
        <v/>
      </c>
      <c r="X45" s="67">
        <f>INDEX($L$43:$O$43,MATCH($X$7,$L$8:$O$8,0))</f>
        <v>1.2</v>
      </c>
      <c r="Y45" s="67">
        <f>INDEX($L45:$O45,MATCH($X$7,$L$8:$O$8,0))</f>
        <v>1</v>
      </c>
      <c r="Z45" s="31" t="str">
        <f t="shared" si="1"/>
        <v/>
      </c>
      <c r="AA45" s="66">
        <f>INDEX($L$43:$O$43,MATCH($AA$7,$L$8:$O$8,0))</f>
        <v>1.8</v>
      </c>
      <c r="AB45" s="67">
        <f>INDEX($L45:$O45,MATCH($AA$7,$L$8:$O$8,0))</f>
        <v>3</v>
      </c>
      <c r="AC45" s="31" t="str">
        <f t="shared" si="2"/>
        <v/>
      </c>
      <c r="AD45" s="66">
        <f>INDEX($L$43:$O$43,MATCH($AD$7,$L$8:$O$8,0))</f>
        <v>1.8</v>
      </c>
      <c r="AE45" s="67">
        <f>INDEX($L45:$O45,MATCH($AD$7,$L$8:$O$8,0))</f>
        <v>4</v>
      </c>
      <c r="AF45" s="32" t="str">
        <f t="shared" si="3"/>
        <v/>
      </c>
      <c r="AH45" s="2"/>
    </row>
    <row r="46" spans="2:34" ht="28.75" customHeight="1" outlineLevel="1">
      <c r="B46" s="78" t="s">
        <v>40</v>
      </c>
      <c r="C46" s="79"/>
      <c r="D46" s="79"/>
      <c r="E46" s="79"/>
      <c r="F46" s="79"/>
      <c r="G46" s="79"/>
      <c r="H46" s="79"/>
      <c r="I46" s="79"/>
      <c r="J46" s="79"/>
      <c r="K46" s="80"/>
      <c r="L46" s="29">
        <v>0</v>
      </c>
      <c r="M46" s="30">
        <v>1</v>
      </c>
      <c r="N46" s="30">
        <v>2</v>
      </c>
      <c r="O46" s="32">
        <v>3</v>
      </c>
      <c r="P46" s="20"/>
      <c r="Q46" s="5" t="s">
        <v>60</v>
      </c>
      <c r="R46" s="20"/>
      <c r="S46" s="7" t="s">
        <v>60</v>
      </c>
      <c r="T46" s="20"/>
      <c r="U46" s="66">
        <f>INDEX($L$43:$O$43,MATCH($U$7,$L$8:$O$8,0))</f>
        <v>0</v>
      </c>
      <c r="V46" s="67">
        <f>INDEX($L46:$O46,MATCH($U$7,$L$8:$O$8,0))</f>
        <v>0</v>
      </c>
      <c r="W46" s="31" t="str">
        <f t="shared" si="0"/>
        <v/>
      </c>
      <c r="X46" s="67">
        <f>INDEX($L$43:$O$43,MATCH($X$7,$L$8:$O$8,0))</f>
        <v>1.2</v>
      </c>
      <c r="Y46" s="67">
        <f>INDEX($L46:$O46,MATCH($X$7,$L$8:$O$8,0))</f>
        <v>1</v>
      </c>
      <c r="Z46" s="31" t="str">
        <f t="shared" si="1"/>
        <v/>
      </c>
      <c r="AA46" s="66">
        <f>INDEX($L$43:$O$43,MATCH($AA$7,$L$8:$O$8,0))</f>
        <v>1.8</v>
      </c>
      <c r="AB46" s="67">
        <f>INDEX($L46:$O46,MATCH($AA$7,$L$8:$O$8,0))</f>
        <v>2</v>
      </c>
      <c r="AC46" s="31" t="str">
        <f t="shared" si="2"/>
        <v/>
      </c>
      <c r="AD46" s="66">
        <f>INDEX($L$43:$O$43,MATCH($AD$7,$L$8:$O$8,0))</f>
        <v>1.8</v>
      </c>
      <c r="AE46" s="67">
        <f>INDEX($L46:$O46,MATCH($AD$7,$L$8:$O$8,0))</f>
        <v>3</v>
      </c>
      <c r="AF46" s="32" t="str">
        <f t="shared" si="3"/>
        <v/>
      </c>
      <c r="AH46" s="3"/>
    </row>
    <row r="47" spans="2:34" ht="14.5" customHeight="1">
      <c r="B47" s="75" t="s">
        <v>17</v>
      </c>
      <c r="C47" s="76"/>
      <c r="D47" s="76"/>
      <c r="E47" s="76"/>
      <c r="F47" s="76"/>
      <c r="G47" s="76"/>
      <c r="H47" s="76"/>
      <c r="I47" s="76"/>
      <c r="J47" s="76"/>
      <c r="K47" s="77"/>
      <c r="L47" s="42">
        <v>0</v>
      </c>
      <c r="M47" s="46">
        <v>0.4</v>
      </c>
      <c r="N47" s="43">
        <v>1.2</v>
      </c>
      <c r="O47" s="53">
        <v>1.8</v>
      </c>
      <c r="P47" s="20"/>
      <c r="Q47" s="36"/>
      <c r="R47" s="20"/>
      <c r="S47" s="36"/>
      <c r="T47" s="20"/>
      <c r="U47" s="70"/>
      <c r="V47" s="71"/>
      <c r="W47" s="37" t="str">
        <f t="shared" si="0"/>
        <v/>
      </c>
      <c r="X47" s="71"/>
      <c r="Y47" s="71"/>
      <c r="Z47" s="37" t="str">
        <f t="shared" si="1"/>
        <v/>
      </c>
      <c r="AA47" s="70"/>
      <c r="AB47" s="71"/>
      <c r="AC47" s="37" t="str">
        <f t="shared" si="2"/>
        <v/>
      </c>
      <c r="AD47" s="70"/>
      <c r="AE47" s="71"/>
      <c r="AF47" s="38" t="str">
        <f t="shared" si="3"/>
        <v/>
      </c>
      <c r="AH47" s="39"/>
    </row>
    <row r="48" spans="2:34" ht="28.75" customHeight="1" outlineLevel="1">
      <c r="B48" s="78" t="s">
        <v>41</v>
      </c>
      <c r="C48" s="79"/>
      <c r="D48" s="79"/>
      <c r="E48" s="79"/>
      <c r="F48" s="79"/>
      <c r="G48" s="79"/>
      <c r="H48" s="79"/>
      <c r="I48" s="79"/>
      <c r="J48" s="79"/>
      <c r="K48" s="80"/>
      <c r="L48" s="29">
        <v>0</v>
      </c>
      <c r="M48" s="30">
        <v>1</v>
      </c>
      <c r="N48" s="30">
        <v>2</v>
      </c>
      <c r="O48" s="32">
        <v>3</v>
      </c>
      <c r="P48" s="20"/>
      <c r="Q48" s="61" t="s">
        <v>60</v>
      </c>
      <c r="R48" s="20"/>
      <c r="S48" s="5" t="s">
        <v>60</v>
      </c>
      <c r="T48" s="20"/>
      <c r="U48" s="66">
        <f>INDEX($L$47:$O$47,MATCH($U$7,$L$8:$O$8,0))</f>
        <v>0</v>
      </c>
      <c r="V48" s="67">
        <f>INDEX($L48:$O48,MATCH($U$7,$L$8:$O$8,0))</f>
        <v>0</v>
      </c>
      <c r="W48" s="31" t="str">
        <f t="shared" si="0"/>
        <v/>
      </c>
      <c r="X48" s="67">
        <f>INDEX($L$47:$O$47,MATCH($X$7,$L$8:$O$8,0))</f>
        <v>0.4</v>
      </c>
      <c r="Y48" s="67">
        <f>INDEX($L48:$O48,MATCH($X$7,$L$8:$O$8,0))</f>
        <v>1</v>
      </c>
      <c r="Z48" s="31" t="str">
        <f t="shared" si="1"/>
        <v/>
      </c>
      <c r="AA48" s="66">
        <f>INDEX($L$47:$O$47,MATCH($AA$7,$L$8:$O$8,0))</f>
        <v>1.2</v>
      </c>
      <c r="AB48" s="67">
        <f>INDEX($L48:$O48,MATCH($AA$7,$L$8:$O$8,0))</f>
        <v>2</v>
      </c>
      <c r="AC48" s="31" t="str">
        <f t="shared" si="2"/>
        <v/>
      </c>
      <c r="AD48" s="66">
        <f>INDEX($L$47:$O$47,MATCH($AD$7,$L$8:$O$8,0))</f>
        <v>1.8</v>
      </c>
      <c r="AE48" s="67">
        <f>INDEX($L48:$O48,MATCH($AD$7,$L$8:$O$8,0))</f>
        <v>3</v>
      </c>
      <c r="AF48" s="32" t="str">
        <f t="shared" si="3"/>
        <v/>
      </c>
      <c r="AH48" s="1"/>
    </row>
    <row r="49" spans="2:34" ht="28.75" customHeight="1" outlineLevel="1">
      <c r="B49" s="78" t="s">
        <v>42</v>
      </c>
      <c r="C49" s="79"/>
      <c r="D49" s="79"/>
      <c r="E49" s="79"/>
      <c r="F49" s="79"/>
      <c r="G49" s="79"/>
      <c r="H49" s="79"/>
      <c r="I49" s="79"/>
      <c r="J49" s="79"/>
      <c r="K49" s="80"/>
      <c r="L49" s="29">
        <v>0</v>
      </c>
      <c r="M49" s="30">
        <v>1</v>
      </c>
      <c r="N49" s="30">
        <v>2</v>
      </c>
      <c r="O49" s="32">
        <v>3</v>
      </c>
      <c r="P49" s="20"/>
      <c r="Q49" s="5" t="s">
        <v>60</v>
      </c>
      <c r="R49" s="20"/>
      <c r="S49" s="5" t="s">
        <v>60</v>
      </c>
      <c r="T49" s="20"/>
      <c r="U49" s="66">
        <f>INDEX($L$47:$O$47,MATCH($U$7,$L$8:$O$8,0))</f>
        <v>0</v>
      </c>
      <c r="V49" s="67">
        <f>INDEX($L49:$O49,MATCH($U$7,$L$8:$O$8,0))</f>
        <v>0</v>
      </c>
      <c r="W49" s="31" t="str">
        <f t="shared" si="0"/>
        <v/>
      </c>
      <c r="X49" s="67">
        <f>INDEX($L$47:$O$47,MATCH($X$7,$L$8:$O$8,0))</f>
        <v>0.4</v>
      </c>
      <c r="Y49" s="67">
        <f>INDEX($L49:$O49,MATCH($X$7,$L$8:$O$8,0))</f>
        <v>1</v>
      </c>
      <c r="Z49" s="31" t="str">
        <f t="shared" si="1"/>
        <v/>
      </c>
      <c r="AA49" s="66">
        <f>INDEX($L$47:$O$47,MATCH($AA$7,$L$8:$O$8,0))</f>
        <v>1.2</v>
      </c>
      <c r="AB49" s="67">
        <f>INDEX($L49:$O49,MATCH($AA$7,$L$8:$O$8,0))</f>
        <v>2</v>
      </c>
      <c r="AC49" s="31" t="str">
        <f t="shared" si="2"/>
        <v/>
      </c>
      <c r="AD49" s="66">
        <f>INDEX($L$47:$O$47,MATCH($AD$7,$L$8:$O$8,0))</f>
        <v>1.8</v>
      </c>
      <c r="AE49" s="67">
        <f>INDEX($L49:$O49,MATCH($AD$7,$L$8:$O$8,0))</f>
        <v>3</v>
      </c>
      <c r="AF49" s="32" t="str">
        <f t="shared" si="3"/>
        <v/>
      </c>
      <c r="AH49" s="1"/>
    </row>
    <row r="50" spans="2:34" ht="28.75" customHeight="1" outlineLevel="1">
      <c r="B50" s="78" t="s">
        <v>43</v>
      </c>
      <c r="C50" s="79"/>
      <c r="D50" s="79"/>
      <c r="E50" s="79"/>
      <c r="F50" s="79"/>
      <c r="G50" s="79"/>
      <c r="H50" s="79"/>
      <c r="I50" s="79"/>
      <c r="J50" s="79"/>
      <c r="K50" s="80"/>
      <c r="L50" s="29">
        <v>0</v>
      </c>
      <c r="M50" s="30">
        <v>0</v>
      </c>
      <c r="N50" s="30">
        <v>1</v>
      </c>
      <c r="O50" s="32">
        <v>2</v>
      </c>
      <c r="P50" s="20"/>
      <c r="Q50" s="5" t="s">
        <v>60</v>
      </c>
      <c r="R50" s="20"/>
      <c r="S50" s="5" t="s">
        <v>60</v>
      </c>
      <c r="T50" s="20"/>
      <c r="U50" s="66">
        <f>INDEX($L$47:$O$47,MATCH($U$7,$L$8:$O$8,0))</f>
        <v>0</v>
      </c>
      <c r="V50" s="67">
        <f>INDEX($L50:$O50,MATCH($U$7,$L$8:$O$8,0))</f>
        <v>0</v>
      </c>
      <c r="W50" s="31" t="str">
        <f t="shared" si="0"/>
        <v/>
      </c>
      <c r="X50" s="67">
        <f>INDEX($L$47:$O$47,MATCH($X$7,$L$8:$O$8,0))</f>
        <v>0.4</v>
      </c>
      <c r="Y50" s="67">
        <f>INDEX($L50:$O50,MATCH($X$7,$L$8:$O$8,0))</f>
        <v>0</v>
      </c>
      <c r="Z50" s="31" t="str">
        <f t="shared" si="1"/>
        <v/>
      </c>
      <c r="AA50" s="66">
        <f>INDEX($L$47:$O$47,MATCH($AA$7,$L$8:$O$8,0))</f>
        <v>1.2</v>
      </c>
      <c r="AB50" s="67">
        <f>INDEX($L50:$O50,MATCH($AA$7,$L$8:$O$8,0))</f>
        <v>1</v>
      </c>
      <c r="AC50" s="31" t="str">
        <f t="shared" si="2"/>
        <v/>
      </c>
      <c r="AD50" s="66">
        <f>INDEX($L$47:$O$47,MATCH($AD$7,$L$8:$O$8,0))</f>
        <v>1.8</v>
      </c>
      <c r="AE50" s="67">
        <f>INDEX($L50:$O50,MATCH($AD$7,$L$8:$O$8,0))</f>
        <v>2</v>
      </c>
      <c r="AF50" s="32" t="str">
        <f t="shared" si="3"/>
        <v/>
      </c>
      <c r="AH50" s="1"/>
    </row>
    <row r="51" spans="2:34" ht="28.75" customHeight="1" outlineLevel="1" thickBot="1">
      <c r="B51" s="81" t="s">
        <v>56</v>
      </c>
      <c r="C51" s="82"/>
      <c r="D51" s="82"/>
      <c r="E51" s="82"/>
      <c r="F51" s="82"/>
      <c r="G51" s="82"/>
      <c r="H51" s="82"/>
      <c r="I51" s="82"/>
      <c r="J51" s="82"/>
      <c r="K51" s="83"/>
      <c r="L51" s="54">
        <v>0</v>
      </c>
      <c r="M51" s="55">
        <v>0</v>
      </c>
      <c r="N51" s="55">
        <v>1</v>
      </c>
      <c r="O51" s="56">
        <v>1</v>
      </c>
      <c r="P51" s="20"/>
      <c r="Q51" s="61" t="s">
        <v>60</v>
      </c>
      <c r="R51" s="20"/>
      <c r="S51" s="8" t="s">
        <v>60</v>
      </c>
      <c r="T51" s="20"/>
      <c r="U51" s="72">
        <f>INDEX($L$47:$O$47,MATCH($U$7,$L$8:$O$8,0))</f>
        <v>0</v>
      </c>
      <c r="V51" s="73">
        <f>INDEX($L51:$O51,MATCH($U$7,$L$8:$O$8,0))</f>
        <v>0</v>
      </c>
      <c r="W51" s="31" t="str">
        <f t="shared" si="0"/>
        <v/>
      </c>
      <c r="X51" s="73">
        <f>INDEX($L$47:$O$47,MATCH($X$7,$L$8:$O$8,0))</f>
        <v>0.4</v>
      </c>
      <c r="Y51" s="73">
        <f>INDEX($L51:$O51,MATCH($X$7,$L$8:$O$8,0))</f>
        <v>0</v>
      </c>
      <c r="Z51" s="31" t="str">
        <f t="shared" si="1"/>
        <v/>
      </c>
      <c r="AA51" s="74">
        <f>INDEX($L$47:$O$47,MATCH($AA$7,$L$8:$O$8,0))</f>
        <v>1.2</v>
      </c>
      <c r="AB51" s="73">
        <f>INDEX($L51:$O51,MATCH($AA$7,$L$8:$O$8,0))</f>
        <v>1</v>
      </c>
      <c r="AC51" s="31" t="str">
        <f t="shared" si="2"/>
        <v/>
      </c>
      <c r="AD51" s="74">
        <f>INDEX($L$47:$O$47,MATCH($AD$7,$L$8:$O$8,0))</f>
        <v>1.8</v>
      </c>
      <c r="AE51" s="73">
        <f>INDEX($L51:$O51,MATCH($AD$7,$L$8:$O$8,0))</f>
        <v>1</v>
      </c>
      <c r="AF51" s="32" t="str">
        <f t="shared" si="3"/>
        <v/>
      </c>
      <c r="AH51" s="4"/>
    </row>
    <row r="52" spans="2:34" ht="8" customHeight="1">
      <c r="B52" s="57"/>
      <c r="C52" s="57"/>
      <c r="D52" s="57"/>
      <c r="E52" s="57"/>
      <c r="F52" s="57"/>
      <c r="G52" s="57"/>
      <c r="H52" s="57"/>
      <c r="I52" s="57"/>
      <c r="J52" s="57"/>
      <c r="K52" s="57"/>
      <c r="Q52" s="58"/>
      <c r="W52" s="59"/>
      <c r="Z52" s="59"/>
      <c r="AC52" s="59"/>
      <c r="AF52" s="59"/>
    </row>
    <row r="53" spans="2:34" ht="14.5" customHeight="1">
      <c r="B53" s="57"/>
      <c r="C53" s="57"/>
      <c r="D53" s="57"/>
      <c r="E53" s="57"/>
      <c r="F53" s="57"/>
      <c r="G53" s="57"/>
      <c r="H53" s="57"/>
      <c r="I53" s="57"/>
      <c r="J53" s="57"/>
      <c r="K53" s="57"/>
    </row>
    <row r="54" spans="2:34" ht="14.5" customHeight="1">
      <c r="B54" s="57"/>
      <c r="C54" s="57"/>
      <c r="D54" s="57"/>
      <c r="E54" s="57"/>
      <c r="F54" s="57"/>
      <c r="G54" s="57"/>
      <c r="H54" s="57"/>
      <c r="I54" s="57"/>
      <c r="J54" s="57"/>
      <c r="K54" s="57"/>
    </row>
    <row r="55" spans="2:34" ht="14.5" customHeight="1">
      <c r="B55" s="57"/>
      <c r="C55" s="57"/>
      <c r="D55" s="57"/>
      <c r="E55" s="57"/>
      <c r="F55" s="57"/>
      <c r="G55" s="57"/>
      <c r="H55" s="57"/>
      <c r="I55" s="57"/>
      <c r="J55" s="57"/>
      <c r="K55" s="57"/>
    </row>
    <row r="56" spans="2:34" ht="14.5" customHeight="1">
      <c r="B56" s="57"/>
      <c r="C56" s="57"/>
      <c r="D56" s="57"/>
      <c r="E56" s="57"/>
      <c r="F56" s="57"/>
      <c r="G56" s="57"/>
      <c r="H56" s="57"/>
      <c r="I56" s="57"/>
      <c r="J56" s="57"/>
      <c r="K56" s="57"/>
    </row>
  </sheetData>
  <sheetProtection sheet="1" objects="1" scenarios="1" selectLockedCells="1"/>
  <mergeCells count="103">
    <mergeCell ref="L34:O34"/>
    <mergeCell ref="B34:K34"/>
    <mergeCell ref="B23:K23"/>
    <mergeCell ref="B24:K24"/>
    <mergeCell ref="B33:K33"/>
    <mergeCell ref="B27:K27"/>
    <mergeCell ref="B19:K19"/>
    <mergeCell ref="B20:K20"/>
    <mergeCell ref="B25:K25"/>
    <mergeCell ref="B26:K26"/>
    <mergeCell ref="B31:K31"/>
    <mergeCell ref="B32:K32"/>
    <mergeCell ref="L7:O7"/>
    <mergeCell ref="B7:K8"/>
    <mergeCell ref="B10:K10"/>
    <mergeCell ref="B11:K11"/>
    <mergeCell ref="L9:O9"/>
    <mergeCell ref="B15:K15"/>
    <mergeCell ref="B14:K14"/>
    <mergeCell ref="B21:K21"/>
    <mergeCell ref="AA2:AC3"/>
    <mergeCell ref="AA4:AC5"/>
    <mergeCell ref="B16:K16"/>
    <mergeCell ref="B17:K17"/>
    <mergeCell ref="B18:K18"/>
    <mergeCell ref="D2:F2"/>
    <mergeCell ref="B2:C5"/>
    <mergeCell ref="D5:F5"/>
    <mergeCell ref="B12:K12"/>
    <mergeCell ref="B13:K13"/>
    <mergeCell ref="B9:K9"/>
    <mergeCell ref="D4:F4"/>
    <mergeCell ref="D3:F3"/>
    <mergeCell ref="S9:S10"/>
    <mergeCell ref="AC9:AC10"/>
    <mergeCell ref="Z9:Z10"/>
    <mergeCell ref="Q7:Q8"/>
    <mergeCell ref="Q9:Q10"/>
    <mergeCell ref="AA34:AA35"/>
    <mergeCell ref="AB34:AB35"/>
    <mergeCell ref="AC34:AC35"/>
    <mergeCell ref="Z34:Z35"/>
    <mergeCell ref="U9:U10"/>
    <mergeCell ref="V9:V10"/>
    <mergeCell ref="W9:W10"/>
    <mergeCell ref="X9:X10"/>
    <mergeCell ref="Y9:Y10"/>
    <mergeCell ref="U34:U35"/>
    <mergeCell ref="V34:V35"/>
    <mergeCell ref="W34:W35"/>
    <mergeCell ref="X34:X35"/>
    <mergeCell ref="Y34:Y35"/>
    <mergeCell ref="Q34:Q35"/>
    <mergeCell ref="S34:S35"/>
    <mergeCell ref="AH9:AH10"/>
    <mergeCell ref="AH34:AH35"/>
    <mergeCell ref="AA9:AA10"/>
    <mergeCell ref="AB9:AB10"/>
    <mergeCell ref="AE9:AE10"/>
    <mergeCell ref="AF9:AF10"/>
    <mergeCell ref="AD34:AD35"/>
    <mergeCell ref="AE34:AE35"/>
    <mergeCell ref="AF34:AF35"/>
    <mergeCell ref="AD9:AD10"/>
    <mergeCell ref="B35:K35"/>
    <mergeCell ref="B36:K36"/>
    <mergeCell ref="B22:K22"/>
    <mergeCell ref="B28:K28"/>
    <mergeCell ref="B29:K29"/>
    <mergeCell ref="B46:K46"/>
    <mergeCell ref="B37:K37"/>
    <mergeCell ref="B38:K38"/>
    <mergeCell ref="B39:K39"/>
    <mergeCell ref="B40:K40"/>
    <mergeCell ref="B41:K41"/>
    <mergeCell ref="B42:K42"/>
    <mergeCell ref="B45:K45"/>
    <mergeCell ref="B43:K43"/>
    <mergeCell ref="B44:K44"/>
    <mergeCell ref="B47:K47"/>
    <mergeCell ref="B48:K48"/>
    <mergeCell ref="B49:K49"/>
    <mergeCell ref="B50:K50"/>
    <mergeCell ref="B51:K51"/>
    <mergeCell ref="S2:T3"/>
    <mergeCell ref="S4:T5"/>
    <mergeCell ref="AH7:AH8"/>
    <mergeCell ref="I2:K3"/>
    <mergeCell ref="I4:K5"/>
    <mergeCell ref="L2:L3"/>
    <mergeCell ref="L4:L5"/>
    <mergeCell ref="U7:W8"/>
    <mergeCell ref="X7:Z8"/>
    <mergeCell ref="AA7:AC8"/>
    <mergeCell ref="S7:S8"/>
    <mergeCell ref="AD2:AF3"/>
    <mergeCell ref="AD4:AF5"/>
    <mergeCell ref="AD7:AF8"/>
    <mergeCell ref="U4:W5"/>
    <mergeCell ref="U2:W3"/>
    <mergeCell ref="X4:Z5"/>
    <mergeCell ref="X2:Z3"/>
    <mergeCell ref="B30:K30"/>
  </mergeCells>
  <conditionalFormatting sqref="Q11:Q51">
    <cfRule type="expression" dxfId="6" priority="15">
      <formula>AND(ISNUMBER(Q11), ISNUMBER(S11), Q11&lt;S11)</formula>
    </cfRule>
  </conditionalFormatting>
  <conditionalFormatting sqref="S11:S51">
    <cfRule type="expression" dxfId="5" priority="16">
      <formula>AND(ISNUMBER(Q11), ISNUMBER(S11), Q11&lt;S11)</formula>
    </cfRule>
  </conditionalFormatting>
  <conditionalFormatting sqref="U2:AF3">
    <cfRule type="expression" dxfId="4" priority="2">
      <formula>U2&gt;=$L$2</formula>
    </cfRule>
  </conditionalFormatting>
  <conditionalFormatting sqref="U4:AF5">
    <cfRule type="expression" dxfId="3" priority="1">
      <formula>U4&gt;=$L$4</formula>
    </cfRule>
  </conditionalFormatting>
  <conditionalFormatting sqref="W11:W51 Z11:Z51 AC11:AC51 AF11:AF51">
    <cfRule type="expression" dxfId="2" priority="3">
      <formula>W11=1</formula>
    </cfRule>
    <cfRule type="expression" dxfId="1" priority="4">
      <formula>W11=0</formula>
    </cfRule>
    <cfRule type="expression" dxfId="0" priority="5">
      <formula>AND(V11&lt;&gt;"", V11=0)</formula>
    </cfRule>
  </conditionalFormatting>
  <dataValidations count="2">
    <dataValidation type="list" allowBlank="1" showInputMessage="1" showErrorMessage="1" sqref="Q11:Q15 Q48:Q51 Q17:Q22 Q24:Q28 Q36:Q38 Q40:Q42 Q44:Q46 Q30:Q33" xr:uid="{5337CD59-376B-6B4D-AC92-072821D0EE78}">
      <formula1>"Not set, 1, 2, 3, 4"</formula1>
    </dataValidation>
    <dataValidation type="list" allowBlank="1" showInputMessage="1" showErrorMessage="1" errorTitle="Error" sqref="S11:S15 S17:S22 S24:S28 S30:S33 S36:S38 S40:S42 S44:S46 S48:S51" xr:uid="{C5CC0595-ABBF-0B47-B40E-3A619139E91B}">
      <formula1>"Not set, 0, 1, 2, 3, 4"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Web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Ghosh</cp:lastModifiedBy>
  <dcterms:created xsi:type="dcterms:W3CDTF">2015-06-05T18:17:20Z</dcterms:created>
  <dcterms:modified xsi:type="dcterms:W3CDTF">2026-02-02T10:41:38Z</dcterms:modified>
  <cp:contentStatus/>
</cp:coreProperties>
</file>