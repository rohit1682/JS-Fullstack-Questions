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astasiia_lobova/Desktop/tech-check/tech-check-vue-matrix/"/>
    </mc:Choice>
  </mc:AlternateContent>
  <xr:revisionPtr revIDLastSave="0" documentId="13_ncr:1_{1B23B894-A8FB-244A-83ED-1763992747C1}" xr6:coauthVersionLast="47" xr6:coauthVersionMax="47" xr10:uidLastSave="{00000000-0000-0000-0000-000000000000}"/>
  <bookViews>
    <workbookView xWindow="0" yWindow="500" windowWidth="26020" windowHeight="14880" xr2:uid="{00000000-000D-0000-FFFF-FFFF00000000}"/>
  </bookViews>
  <sheets>
    <sheet name="Vue" sheetId="1" r:id="rId1"/>
  </sheets>
  <calcPr calcId="191028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7" i="1" l="1"/>
  <c r="I38" i="1" s="1"/>
  <c r="I39" i="1" s="1"/>
  <c r="I40" i="1" s="1"/>
  <c r="G37" i="1"/>
  <c r="G38" i="1" s="1"/>
  <c r="G39" i="1" s="1"/>
  <c r="G40" i="1" s="1"/>
  <c r="I32" i="1"/>
  <c r="I33" i="1" s="1"/>
  <c r="I34" i="1" s="1"/>
  <c r="I35" i="1" s="1"/>
  <c r="I36" i="1" s="1"/>
  <c r="G32" i="1"/>
  <c r="G33" i="1" s="1"/>
  <c r="G34" i="1" s="1"/>
  <c r="G35" i="1" s="1"/>
  <c r="G36" i="1" s="1"/>
  <c r="I16" i="1"/>
  <c r="I17" i="1" s="1"/>
  <c r="I26" i="1"/>
  <c r="I27" i="1" s="1"/>
  <c r="I28" i="1" s="1"/>
  <c r="I29" i="1" s="1"/>
  <c r="I30" i="1" s="1"/>
  <c r="I31" i="1" s="1"/>
  <c r="G16" i="1"/>
  <c r="G17" i="1" s="1"/>
  <c r="G26" i="1"/>
  <c r="G27" i="1" s="1"/>
  <c r="G28" i="1" s="1"/>
  <c r="G29" i="1" s="1"/>
  <c r="G30" i="1" s="1"/>
  <c r="G31" i="1" s="1"/>
  <c r="I18" i="1" l="1"/>
  <c r="I19" i="1" s="1"/>
  <c r="I20" i="1" s="1"/>
  <c r="I21" i="1" s="1"/>
  <c r="I22" i="1" s="1"/>
  <c r="I23" i="1" s="1"/>
  <c r="I24" i="1" s="1"/>
  <c r="I25" i="1" s="1"/>
  <c r="I10" i="1" s="1"/>
  <c r="I9" i="1" s="1"/>
  <c r="G18" i="1"/>
  <c r="G19" i="1" s="1"/>
  <c r="G20" i="1" s="1"/>
  <c r="G21" i="1" s="1"/>
  <c r="G22" i="1" s="1"/>
  <c r="G23" i="1" l="1"/>
  <c r="G24" i="1" s="1"/>
  <c r="G25" i="1" s="1"/>
  <c r="G10" i="1"/>
  <c r="G9" i="1" s="1"/>
  <c r="J1" i="1"/>
  <c r="H1" i="1"/>
  <c r="B1" i="1" l="1"/>
</calcChain>
</file>

<file path=xl/sharedStrings.xml><?xml version="1.0" encoding="utf-8"?>
<sst xmlns="http://schemas.openxmlformats.org/spreadsheetml/2006/main" count="54" uniqueCount="48">
  <si>
    <t>Marks:</t>
  </si>
  <si>
    <t>Legend:</t>
  </si>
  <si>
    <t>Lesser important</t>
  </si>
  <si>
    <t>Min 
score</t>
  </si>
  <si>
    <t>Important</t>
  </si>
  <si>
    <t>Very important</t>
  </si>
  <si>
    <t>Result</t>
  </si>
  <si>
    <t>=SUMPRODUCT(J$9:J$508,$B$9:$B$508,OFFSET(INDIRECT(CONCATENATE("R8C",3+J$8),FALSE),1,0,500,1))/SUMPRODUCT($B$9:$B$508,OFFSET(INDIRECT(CONCATENATE("R8C",3+J$8),FALSE),1,0,500,1))'</t>
  </si>
  <si>
    <t>=SUMPRODUCT(K$9:K$508,$B$9:$B$508,OFFSET(INDIRECT(CONCATENATE("R8C",3+K$8),FALSE),1,0,500,1))/SUMPRODUCT($B$9:$B$508,OFFSET(INDIRECT(CONCATENATE("R8C",3+K$8),FALSE),1,0,500,1))'</t>
  </si>
  <si>
    <t>.</t>
  </si>
  <si>
    <t>Vue - evaluation matrix</t>
  </si>
  <si>
    <t>Level</t>
  </si>
  <si>
    <t>YYYY-Qx</t>
  </si>
  <si>
    <t>&lt;- assessment date</t>
  </si>
  <si>
    <t>N</t>
  </si>
  <si>
    <t>I</t>
  </si>
  <si>
    <t>A</t>
  </si>
  <si>
    <t>&lt;- assessment levels</t>
  </si>
  <si>
    <t>Vue</t>
  </si>
  <si>
    <t>+</t>
  </si>
  <si>
    <t>Basic</t>
  </si>
  <si>
    <t>&lt;- skill check result</t>
  </si>
  <si>
    <t>Instance lifecycle (hooks, $nextTick)</t>
  </si>
  <si>
    <t>Сonditional and list rendering (v-if, v-show, v-for, key)</t>
  </si>
  <si>
    <t>Data (diclaration, change detection for object and array, $set)</t>
  </si>
  <si>
    <t>Component props, data flow (validation, types, passing, defining props)</t>
  </si>
  <si>
    <t>Computed properties, watchers, methods (async update queue)</t>
  </si>
  <si>
    <t>Intermediate</t>
  </si>
  <si>
    <t>Vue router (navigation guards)</t>
  </si>
  <si>
    <t>Slots (fallback content, named and scoped slots, $slots, $scopedSlots)</t>
  </si>
  <si>
    <t>Mixins (option merging, global mixins, custom merge strategies)</t>
  </si>
  <si>
    <t>Advanced</t>
  </si>
  <si>
    <t>Render functions (createElement, data object)</t>
  </si>
  <si>
    <t>Reactivity (vue2, vu3)</t>
  </si>
  <si>
    <t>Performance (v-show, ssr, keep alive, dynamic &amp; async components, functional components, memory leak)</t>
  </si>
  <si>
    <t xml:space="preserve">   Bonus</t>
  </si>
  <si>
    <t>Testing (jest, test store, vue test utils)</t>
  </si>
  <si>
    <t>Total</t>
  </si>
  <si>
    <t>Vuex/Pinia (state, mutations, actions, getters, modules, mappers)</t>
  </si>
  <si>
    <t>Composition API (setup, lifecycle hooks, ref, reactive)</t>
  </si>
  <si>
    <t>Fallthrough attributes (inheritance)</t>
  </si>
  <si>
    <t>Form input bindings (v-model, v-model with components)</t>
  </si>
  <si>
    <t xml:space="preserve">Template syntax (text Interpolation, js expressions, directives, attribute bindings) </t>
  </si>
  <si>
    <t>Event handling (v-on, $event, event modifiers, $emit)</t>
  </si>
  <si>
    <t xml:space="preserve">Rendering Mechanism (virtual DOM, templates vs. render functions) </t>
  </si>
  <si>
    <t>Build/dev tools</t>
  </si>
  <si>
    <t>Nuxt</t>
  </si>
  <si>
    <t xml:space="preserve">Version 1.0.0-alpha.1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</si>
</sst>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2"/>
      <color rgb="FFFA7D00"/>
      <name val="Calibri"/>
      <family val="2"/>
      <scheme val="minor"/>
    </font>
    <font>
      <i/>
      <sz val="9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theme="0" tint="-4.9989318521683403E-2"/>
      <name val="Calibri"/>
      <family val="2"/>
      <scheme val="minor"/>
    </font>
    <font>
      <b/>
      <sz val="11"/>
      <color rgb="FF000000"/>
      <name val="Arial"/>
      <family val="2"/>
      <charset val="204"/>
    </font>
    <font>
      <b/>
      <sz val="8"/>
      <color theme="0" tint="-4.9989318521683403E-2"/>
      <name val="Calibri"/>
      <family val="2"/>
      <scheme val="minor"/>
    </font>
    <font>
      <b/>
      <sz val="8"/>
      <color theme="0" tint="-4.9989318521683403E-2"/>
      <name val="Calibri"/>
      <family val="2"/>
    </font>
    <font>
      <b/>
      <u/>
      <sz val="12"/>
      <name val="Calibri"/>
      <family val="2"/>
      <charset val="204"/>
    </font>
    <font>
      <b/>
      <sz val="10"/>
      <name val="Arial"/>
      <family val="2"/>
      <charset val="204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b/>
      <sz val="10"/>
      <name val="Arial"/>
      <family val="2"/>
    </font>
    <font>
      <b/>
      <i/>
      <sz val="11"/>
      <color rgb="FF305496"/>
      <name val="Calibri"/>
      <family val="2"/>
      <charset val="204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C1DA"/>
        <bgColor rgb="FFCCCCFF"/>
      </patternFill>
    </fill>
    <fill>
      <patternFill patternType="solid">
        <fgColor theme="0" tint="-4.9989318521683403E-2"/>
        <bgColor rgb="FFCCCCFF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4C6E7"/>
        <bgColor indexed="64"/>
      </patternFill>
    </fill>
  </fills>
  <borders count="7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dotted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hair">
        <color auto="1"/>
      </bottom>
      <diagonal/>
    </border>
    <border>
      <left style="thin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 style="dotted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auto="1"/>
      </right>
      <top/>
      <bottom style="hair">
        <color auto="1"/>
      </bottom>
      <diagonal/>
    </border>
    <border>
      <left style="dotted">
        <color auto="1"/>
      </left>
      <right style="thin">
        <color indexed="64"/>
      </right>
      <top style="hair">
        <color auto="1"/>
      </top>
      <bottom/>
      <diagonal/>
    </border>
    <border>
      <left/>
      <right style="dotted">
        <color auto="1"/>
      </right>
      <top/>
      <bottom style="dotted">
        <color rgb="FF000000"/>
      </bottom>
      <diagonal/>
    </border>
    <border>
      <left style="thin">
        <color rgb="FF7F7F7F"/>
      </left>
      <right/>
      <top style="thin">
        <color rgb="FF7F7F7F"/>
      </top>
      <bottom style="thin">
        <color auto="1"/>
      </bottom>
      <diagonal/>
    </border>
    <border>
      <left/>
      <right style="thin">
        <color auto="1"/>
      </right>
      <top style="thin">
        <color rgb="FF7F7F7F"/>
      </top>
      <bottom style="thin">
        <color auto="1"/>
      </bottom>
      <diagonal/>
    </border>
    <border>
      <left style="thin">
        <color auto="1"/>
      </left>
      <right/>
      <top style="thin">
        <color rgb="FF7F7F7F"/>
      </top>
      <bottom style="thin">
        <color auto="1"/>
      </bottom>
      <diagonal/>
    </border>
    <border>
      <left/>
      <right style="thin">
        <color rgb="FF7F7F7F"/>
      </right>
      <top style="thin">
        <color rgb="FF7F7F7F"/>
      </top>
      <bottom style="thin">
        <color auto="1"/>
      </bottom>
      <diagonal/>
    </border>
    <border>
      <left style="thin">
        <color auto="1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dotted">
        <color auto="1"/>
      </right>
      <top style="hair">
        <color auto="1"/>
      </top>
      <bottom/>
      <diagonal/>
    </border>
    <border>
      <left/>
      <right/>
      <top style="dotted">
        <color rgb="FF000000"/>
      </top>
      <bottom/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hair">
        <color auto="1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auto="1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dotted">
        <color rgb="FF000000"/>
      </left>
      <right style="dotted">
        <color auto="1"/>
      </right>
      <top style="thin">
        <color rgb="FF000000"/>
      </top>
      <bottom style="hair">
        <color auto="1"/>
      </bottom>
      <diagonal/>
    </border>
    <border>
      <left style="dotted">
        <color auto="1"/>
      </left>
      <right style="thin">
        <color rgb="FF000000"/>
      </right>
      <top style="thin">
        <color rgb="FF000000"/>
      </top>
      <bottom style="hair">
        <color auto="1"/>
      </bottom>
      <diagonal/>
    </border>
    <border>
      <left style="dotted">
        <color auto="1"/>
      </left>
      <right style="thin">
        <color rgb="FF000000"/>
      </right>
      <top/>
      <bottom style="hair">
        <color auto="1"/>
      </bottom>
      <diagonal/>
    </border>
    <border>
      <left style="dotted">
        <color rgb="FF000000"/>
      </left>
      <right style="dotted">
        <color auto="1"/>
      </right>
      <top/>
      <bottom/>
      <diagonal/>
    </border>
    <border>
      <left style="dotted">
        <color auto="1"/>
      </left>
      <right style="thin">
        <color rgb="FF000000"/>
      </right>
      <top/>
      <bottom/>
      <diagonal/>
    </border>
    <border>
      <left/>
      <right style="dotted">
        <color rgb="FF000000"/>
      </right>
      <top style="thin">
        <color rgb="FF000000"/>
      </top>
      <bottom/>
      <diagonal/>
    </border>
    <border>
      <left/>
      <right style="dotted">
        <color auto="1"/>
      </right>
      <top style="thin">
        <color rgb="FF000000"/>
      </top>
      <bottom style="hair">
        <color auto="1"/>
      </bottom>
      <diagonal/>
    </border>
    <border>
      <left style="dotted">
        <color auto="1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dotted">
        <color auto="1"/>
      </right>
      <top/>
      <bottom style="thin">
        <color rgb="FF000000"/>
      </bottom>
      <diagonal/>
    </border>
    <border>
      <left/>
      <right style="dotted">
        <color auto="1"/>
      </right>
      <top/>
      <bottom style="thin">
        <color rgb="FF000000"/>
      </bottom>
      <diagonal/>
    </border>
    <border>
      <left/>
      <right style="dotted">
        <color auto="1"/>
      </right>
      <top style="hair">
        <color auto="1"/>
      </top>
      <bottom/>
      <diagonal/>
    </border>
    <border>
      <left style="dotted">
        <color auto="1"/>
      </left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9" fontId="2" fillId="0" borderId="0" applyFont="0" applyFill="0" applyBorder="0" applyAlignment="0" applyProtection="0"/>
    <xf numFmtId="0" fontId="3" fillId="2" borderId="1" applyNumberForma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4" fillId="7" borderId="0" applyNumberFormat="0" applyBorder="0" applyAlignment="0" applyProtection="0"/>
  </cellStyleXfs>
  <cellXfs count="141">
    <xf numFmtId="0" fontId="0" fillId="0" borderId="0" xfId="0"/>
    <xf numFmtId="0" fontId="5" fillId="8" borderId="2" xfId="0" applyFont="1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0" fontId="6" fillId="8" borderId="0" xfId="0" applyFont="1" applyFill="1" applyAlignment="1">
      <alignment vertical="top" wrapText="1"/>
    </xf>
    <xf numFmtId="0" fontId="7" fillId="8" borderId="0" xfId="0" applyFont="1" applyFill="1" applyAlignment="1">
      <alignment vertical="top"/>
    </xf>
    <xf numFmtId="0" fontId="8" fillId="8" borderId="0" xfId="0" applyFont="1" applyFill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5" fillId="8" borderId="4" xfId="0" applyFont="1" applyFill="1" applyBorder="1" applyAlignment="1">
      <alignment horizontal="center"/>
    </xf>
    <xf numFmtId="164" fontId="1" fillId="9" borderId="5" xfId="3" applyNumberFormat="1" applyFill="1" applyBorder="1" applyAlignment="1">
      <alignment horizontal="center" vertical="center"/>
    </xf>
    <xf numFmtId="164" fontId="1" fillId="9" borderId="6" xfId="3" applyNumberFormat="1" applyFill="1" applyBorder="1" applyAlignment="1">
      <alignment horizontal="center" vertical="center"/>
    </xf>
    <xf numFmtId="0" fontId="1" fillId="9" borderId="6" xfId="3" applyFill="1" applyBorder="1"/>
    <xf numFmtId="0" fontId="1" fillId="9" borderId="7" xfId="3" applyFill="1" applyBorder="1"/>
    <xf numFmtId="0" fontId="5" fillId="10" borderId="8" xfId="0" applyFont="1" applyFill="1" applyBorder="1" applyAlignment="1">
      <alignment horizontal="center"/>
    </xf>
    <xf numFmtId="164" fontId="1" fillId="11" borderId="2" xfId="6" applyNumberFormat="1" applyFill="1" applyBorder="1" applyAlignment="1">
      <alignment horizontal="center" vertical="center"/>
    </xf>
    <xf numFmtId="164" fontId="1" fillId="11" borderId="0" xfId="6" applyNumberFormat="1" applyFill="1" applyBorder="1" applyAlignment="1">
      <alignment horizontal="center" vertical="center"/>
    </xf>
    <xf numFmtId="0" fontId="1" fillId="11" borderId="0" xfId="6" applyFill="1" applyBorder="1"/>
    <xf numFmtId="0" fontId="5" fillId="10" borderId="3" xfId="0" applyFont="1" applyFill="1" applyBorder="1" applyAlignment="1">
      <alignment horizontal="center" wrapText="1"/>
    </xf>
    <xf numFmtId="164" fontId="1" fillId="12" borderId="9" xfId="4" applyNumberFormat="1" applyFill="1" applyBorder="1" applyAlignment="1">
      <alignment horizontal="center" vertical="center"/>
    </xf>
    <xf numFmtId="164" fontId="1" fillId="12" borderId="10" xfId="4" applyNumberFormat="1" applyFill="1" applyBorder="1" applyAlignment="1">
      <alignment horizontal="center" vertical="center"/>
    </xf>
    <xf numFmtId="0" fontId="1" fillId="12" borderId="10" xfId="4" applyFill="1" applyBorder="1"/>
    <xf numFmtId="9" fontId="4" fillId="7" borderId="11" xfId="7" applyNumberFormat="1" applyBorder="1" applyAlignment="1">
      <alignment horizontal="center"/>
    </xf>
    <xf numFmtId="0" fontId="8" fillId="8" borderId="0" xfId="0" applyFont="1" applyFill="1" applyAlignment="1">
      <alignment vertical="top"/>
    </xf>
    <xf numFmtId="0" fontId="9" fillId="8" borderId="0" xfId="0" applyFont="1" applyFill="1"/>
    <xf numFmtId="0" fontId="0" fillId="8" borderId="0" xfId="0" applyFill="1"/>
    <xf numFmtId="0" fontId="5" fillId="8" borderId="3" xfId="0" applyFont="1" applyFill="1" applyBorder="1" applyAlignment="1">
      <alignment horizontal="center"/>
    </xf>
    <xf numFmtId="0" fontId="11" fillId="0" borderId="3" xfId="0" applyFont="1" applyBorder="1"/>
    <xf numFmtId="0" fontId="12" fillId="8" borderId="0" xfId="0" applyFont="1" applyFill="1"/>
    <xf numFmtId="0" fontId="11" fillId="0" borderId="0" xfId="0" applyFont="1"/>
    <xf numFmtId="0" fontId="11" fillId="8" borderId="0" xfId="0" applyFont="1" applyFill="1"/>
    <xf numFmtId="0" fontId="14" fillId="8" borderId="0" xfId="0" applyFont="1" applyFill="1" applyAlignment="1">
      <alignment horizontal="center"/>
    </xf>
    <xf numFmtId="0" fontId="15" fillId="8" borderId="6" xfId="2" quotePrefix="1" applyFont="1" applyFill="1" applyBorder="1" applyAlignment="1"/>
    <xf numFmtId="0" fontId="16" fillId="8" borderId="4" xfId="0" applyFont="1" applyFill="1" applyBorder="1" applyAlignment="1">
      <alignment horizontal="center"/>
    </xf>
    <xf numFmtId="0" fontId="17" fillId="13" borderId="5" xfId="0" quotePrefix="1" applyFont="1" applyFill="1" applyBorder="1" applyAlignment="1">
      <alignment horizontal="center"/>
    </xf>
    <xf numFmtId="0" fontId="17" fillId="13" borderId="6" xfId="0" applyFont="1" applyFill="1" applyBorder="1"/>
    <xf numFmtId="0" fontId="17" fillId="13" borderId="7" xfId="0" applyFont="1" applyFill="1" applyBorder="1"/>
    <xf numFmtId="0" fontId="12" fillId="13" borderId="2" xfId="0" applyFont="1" applyFill="1" applyBorder="1" applyAlignment="1">
      <alignment vertical="center"/>
    </xf>
    <xf numFmtId="0" fontId="12" fillId="13" borderId="15" xfId="0" applyFont="1" applyFill="1" applyBorder="1" applyAlignment="1">
      <alignment vertical="center"/>
    </xf>
    <xf numFmtId="0" fontId="12" fillId="13" borderId="16" xfId="0" applyFont="1" applyFill="1" applyBorder="1" applyAlignment="1">
      <alignment horizontal="center"/>
    </xf>
    <xf numFmtId="0" fontId="12" fillId="13" borderId="17" xfId="0" applyFont="1" applyFill="1" applyBorder="1" applyAlignment="1">
      <alignment horizontal="center"/>
    </xf>
    <xf numFmtId="0" fontId="18" fillId="15" borderId="18" xfId="0" applyFont="1" applyFill="1" applyBorder="1"/>
    <xf numFmtId="0" fontId="18" fillId="15" borderId="19" xfId="0" applyFont="1" applyFill="1" applyBorder="1"/>
    <xf numFmtId="0" fontId="18" fillId="15" borderId="20" xfId="0" applyFont="1" applyFill="1" applyBorder="1"/>
    <xf numFmtId="0" fontId="5" fillId="8" borderId="2" xfId="0" quotePrefix="1" applyFont="1" applyFill="1" applyBorder="1" applyAlignment="1">
      <alignment horizontal="center"/>
    </xf>
    <xf numFmtId="9" fontId="5" fillId="17" borderId="0" xfId="0" applyNumberFormat="1" applyFont="1" applyFill="1" applyAlignment="1">
      <alignment horizontal="center"/>
    </xf>
    <xf numFmtId="0" fontId="5" fillId="8" borderId="9" xfId="0" applyFont="1" applyFill="1" applyBorder="1" applyAlignment="1">
      <alignment horizontal="center"/>
    </xf>
    <xf numFmtId="0" fontId="5" fillId="8" borderId="10" xfId="0" applyFont="1" applyFill="1" applyBorder="1" applyAlignment="1">
      <alignment horizontal="center"/>
    </xf>
    <xf numFmtId="0" fontId="5" fillId="8" borderId="21" xfId="0" applyFont="1" applyFill="1" applyBorder="1" applyAlignment="1">
      <alignment horizontal="center"/>
    </xf>
    <xf numFmtId="0" fontId="5" fillId="8" borderId="22" xfId="0" applyFont="1" applyFill="1" applyBorder="1" applyAlignment="1">
      <alignment horizontal="center"/>
    </xf>
    <xf numFmtId="0" fontId="5" fillId="8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16" borderId="0" xfId="0" applyFill="1" applyAlignment="1">
      <alignment horizontal="center"/>
    </xf>
    <xf numFmtId="0" fontId="20" fillId="18" borderId="25" xfId="0" applyFont="1" applyFill="1" applyBorder="1" applyAlignment="1">
      <alignment horizontal="center"/>
    </xf>
    <xf numFmtId="164" fontId="5" fillId="16" borderId="26" xfId="1" applyNumberFormat="1" applyFont="1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20" fillId="18" borderId="31" xfId="0" applyFont="1" applyFill="1" applyBorder="1" applyAlignment="1">
      <alignment horizontal="center"/>
    </xf>
    <xf numFmtId="164" fontId="5" fillId="16" borderId="32" xfId="0" applyNumberFormat="1" applyFont="1" applyFill="1" applyBorder="1" applyAlignment="1">
      <alignment horizontal="center"/>
    </xf>
    <xf numFmtId="164" fontId="5" fillId="16" borderId="26" xfId="0" applyNumberFormat="1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20" fillId="18" borderId="33" xfId="0" applyFont="1" applyFill="1" applyBorder="1" applyAlignment="1">
      <alignment horizontal="center"/>
    </xf>
    <xf numFmtId="9" fontId="5" fillId="17" borderId="9" xfId="0" applyNumberFormat="1" applyFont="1" applyFill="1" applyBorder="1" applyAlignment="1">
      <alignment horizontal="center"/>
    </xf>
    <xf numFmtId="164" fontId="24" fillId="8" borderId="0" xfId="0" applyNumberFormat="1" applyFont="1" applyFill="1" applyAlignment="1">
      <alignment horizontal="center" vertical="top" wrapText="1"/>
    </xf>
    <xf numFmtId="0" fontId="0" fillId="0" borderId="42" xfId="0" applyBorder="1" applyAlignment="1">
      <alignment horizontal="center"/>
    </xf>
    <xf numFmtId="0" fontId="19" fillId="0" borderId="41" xfId="0" applyFont="1" applyBorder="1" applyAlignment="1">
      <alignment horizontal="left" vertical="center" indent="1"/>
    </xf>
    <xf numFmtId="0" fontId="0" fillId="0" borderId="43" xfId="0" applyBorder="1" applyAlignment="1">
      <alignment horizontal="center"/>
    </xf>
    <xf numFmtId="164" fontId="5" fillId="16" borderId="0" xfId="1" applyNumberFormat="1" applyFont="1" applyFill="1" applyBorder="1" applyAlignment="1">
      <alignment horizontal="center"/>
    </xf>
    <xf numFmtId="0" fontId="20" fillId="18" borderId="44" xfId="0" applyFont="1" applyFill="1" applyBorder="1" applyAlignment="1">
      <alignment horizontal="center"/>
    </xf>
    <xf numFmtId="0" fontId="20" fillId="18" borderId="29" xfId="0" applyFont="1" applyFill="1" applyBorder="1" applyAlignment="1">
      <alignment horizontal="center"/>
    </xf>
    <xf numFmtId="0" fontId="8" fillId="0" borderId="45" xfId="0" applyFont="1" applyBorder="1"/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8" fillId="0" borderId="48" xfId="0" applyFont="1" applyBorder="1"/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/>
    <xf numFmtId="0" fontId="0" fillId="0" borderId="45" xfId="0" applyBorder="1"/>
    <xf numFmtId="0" fontId="0" fillId="0" borderId="52" xfId="0" applyBorder="1"/>
    <xf numFmtId="0" fontId="12" fillId="0" borderId="52" xfId="0" applyFont="1" applyBorder="1" applyAlignment="1">
      <alignment horizontal="left" vertical="center" indent="1"/>
    </xf>
    <xf numFmtId="164" fontId="5" fillId="16" borderId="24" xfId="1" applyNumberFormat="1" applyFont="1" applyFill="1" applyBorder="1" applyAlignment="1">
      <alignment horizontal="center"/>
    </xf>
    <xf numFmtId="164" fontId="5" fillId="16" borderId="24" xfId="0" applyNumberFormat="1" applyFont="1" applyFill="1" applyBorder="1" applyAlignment="1">
      <alignment horizontal="center"/>
    </xf>
    <xf numFmtId="164" fontId="5" fillId="16" borderId="54" xfId="0" applyNumberFormat="1" applyFont="1" applyFill="1" applyBorder="1" applyAlignment="1">
      <alignment horizontal="center"/>
    </xf>
    <xf numFmtId="0" fontId="19" fillId="0" borderId="52" xfId="0" applyFont="1" applyBorder="1" applyAlignment="1">
      <alignment horizontal="left" vertical="center" indent="1"/>
    </xf>
    <xf numFmtId="0" fontId="0" fillId="0" borderId="55" xfId="0" applyBorder="1" applyAlignment="1">
      <alignment horizontal="center"/>
    </xf>
    <xf numFmtId="0" fontId="20" fillId="18" borderId="56" xfId="0" applyFont="1" applyFill="1" applyBorder="1" applyAlignment="1">
      <alignment horizontal="center"/>
    </xf>
    <xf numFmtId="0" fontId="20" fillId="18" borderId="57" xfId="0" applyFont="1" applyFill="1" applyBorder="1" applyAlignment="1">
      <alignment horizontal="center"/>
    </xf>
    <xf numFmtId="0" fontId="20" fillId="18" borderId="58" xfId="0" applyFont="1" applyFill="1" applyBorder="1" applyAlignment="1">
      <alignment horizontal="center"/>
    </xf>
    <xf numFmtId="164" fontId="5" fillId="16" borderId="59" xfId="0" applyNumberFormat="1" applyFont="1" applyFill="1" applyBorder="1" applyAlignment="1">
      <alignment horizontal="center"/>
    </xf>
    <xf numFmtId="164" fontId="5" fillId="16" borderId="60" xfId="0" applyNumberFormat="1" applyFont="1" applyFill="1" applyBorder="1" applyAlignment="1">
      <alignment horizontal="center"/>
    </xf>
    <xf numFmtId="0" fontId="0" fillId="18" borderId="48" xfId="0" applyFill="1" applyBorder="1" applyAlignment="1">
      <alignment wrapText="1"/>
    </xf>
    <xf numFmtId="0" fontId="20" fillId="18" borderId="61" xfId="0" applyFont="1" applyFill="1" applyBorder="1" applyAlignment="1">
      <alignment horizontal="center"/>
    </xf>
    <xf numFmtId="0" fontId="20" fillId="18" borderId="62" xfId="0" applyFont="1" applyFill="1" applyBorder="1" applyAlignment="1">
      <alignment horizontal="center"/>
    </xf>
    <xf numFmtId="0" fontId="0" fillId="18" borderId="45" xfId="0" applyFill="1" applyBorder="1" applyAlignment="1">
      <alignment wrapText="1"/>
    </xf>
    <xf numFmtId="0" fontId="20" fillId="18" borderId="63" xfId="0" applyFont="1" applyFill="1" applyBorder="1" applyAlignment="1">
      <alignment horizontal="center"/>
    </xf>
    <xf numFmtId="0" fontId="18" fillId="15" borderId="64" xfId="0" applyFont="1" applyFill="1" applyBorder="1"/>
    <xf numFmtId="2" fontId="18" fillId="15" borderId="65" xfId="1" applyNumberFormat="1" applyFont="1" applyFill="1" applyBorder="1" applyAlignment="1"/>
    <xf numFmtId="2" fontId="18" fillId="15" borderId="53" xfId="1" applyNumberFormat="1" applyFont="1" applyFill="1" applyBorder="1" applyAlignment="1"/>
    <xf numFmtId="0" fontId="21" fillId="0" borderId="52" xfId="0" applyFont="1" applyBorder="1" applyAlignment="1">
      <alignment wrapText="1"/>
    </xf>
    <xf numFmtId="164" fontId="22" fillId="19" borderId="28" xfId="1" applyNumberFormat="1" applyFont="1" applyFill="1" applyBorder="1" applyAlignment="1">
      <alignment horizontal="center"/>
    </xf>
    <xf numFmtId="164" fontId="22" fillId="21" borderId="66" xfId="1" applyNumberFormat="1" applyFont="1" applyFill="1" applyBorder="1" applyAlignment="1">
      <alignment horizontal="center"/>
    </xf>
    <xf numFmtId="164" fontId="22" fillId="20" borderId="67" xfId="0" applyNumberFormat="1" applyFont="1" applyFill="1" applyBorder="1" applyAlignment="1">
      <alignment horizontal="center"/>
    </xf>
    <xf numFmtId="0" fontId="5" fillId="8" borderId="0" xfId="0" quotePrefix="1" applyFont="1" applyFill="1" applyAlignment="1">
      <alignment horizontal="center"/>
    </xf>
    <xf numFmtId="0" fontId="17" fillId="13" borderId="71" xfId="0" applyFont="1" applyFill="1" applyBorder="1"/>
    <xf numFmtId="0" fontId="17" fillId="13" borderId="55" xfId="0" applyFont="1" applyFill="1" applyBorder="1"/>
    <xf numFmtId="0" fontId="17" fillId="13" borderId="50" xfId="0" applyFont="1" applyFill="1" applyBorder="1"/>
    <xf numFmtId="0" fontId="8" fillId="8" borderId="54" xfId="0" applyFont="1" applyFill="1" applyBorder="1" applyAlignment="1">
      <alignment vertical="top" wrapText="1"/>
    </xf>
    <xf numFmtId="0" fontId="5" fillId="8" borderId="72" xfId="0" applyFont="1" applyFill="1" applyBorder="1" applyAlignment="1">
      <alignment horizontal="center"/>
    </xf>
    <xf numFmtId="0" fontId="18" fillId="15" borderId="73" xfId="0" applyFont="1" applyFill="1" applyBorder="1"/>
    <xf numFmtId="164" fontId="5" fillId="16" borderId="73" xfId="0" applyNumberFormat="1" applyFont="1" applyFill="1" applyBorder="1" applyAlignment="1">
      <alignment horizontal="center"/>
    </xf>
    <xf numFmtId="9" fontId="1" fillId="5" borderId="73" xfId="5" applyNumberFormat="1" applyBorder="1" applyAlignment="1">
      <alignment horizontal="center"/>
    </xf>
    <xf numFmtId="9" fontId="1" fillId="5" borderId="74" xfId="5" applyNumberFormat="1" applyBorder="1" applyAlignment="1">
      <alignment horizontal="center"/>
    </xf>
    <xf numFmtId="9" fontId="1" fillId="5" borderId="21" xfId="5" applyNumberFormat="1" applyBorder="1" applyAlignment="1">
      <alignment horizontal="center"/>
    </xf>
    <xf numFmtId="0" fontId="0" fillId="0" borderId="45" xfId="0" applyBorder="1" applyAlignment="1">
      <alignment wrapText="1"/>
    </xf>
    <xf numFmtId="0" fontId="0" fillId="0" borderId="0" xfId="0" applyAlignment="1">
      <alignment horizontal="center" vertical="center"/>
    </xf>
    <xf numFmtId="0" fontId="20" fillId="18" borderId="31" xfId="0" applyFont="1" applyFill="1" applyBorder="1" applyAlignment="1">
      <alignment horizontal="center" vertical="center"/>
    </xf>
    <xf numFmtId="0" fontId="20" fillId="18" borderId="58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164" fontId="5" fillId="16" borderId="73" xfId="0" applyNumberFormat="1" applyFont="1" applyFill="1" applyBorder="1" applyAlignment="1">
      <alignment horizontal="center" vertical="center"/>
    </xf>
    <xf numFmtId="0" fontId="0" fillId="0" borderId="75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3" xfId="0" applyBorder="1" applyAlignment="1" applyProtection="1">
      <alignment vertical="center"/>
      <protection locked="0"/>
    </xf>
    <xf numFmtId="0" fontId="0" fillId="0" borderId="54" xfId="0" applyBorder="1" applyProtection="1">
      <protection locked="0"/>
    </xf>
    <xf numFmtId="0" fontId="0" fillId="0" borderId="50" xfId="0" applyBorder="1" applyProtection="1">
      <protection locked="0"/>
    </xf>
    <xf numFmtId="0" fontId="0" fillId="0" borderId="54" xfId="0" applyBorder="1" applyAlignment="1" applyProtection="1">
      <alignment vertical="center"/>
      <protection locked="0"/>
    </xf>
    <xf numFmtId="0" fontId="23" fillId="8" borderId="0" xfId="0" applyFont="1" applyFill="1" applyAlignment="1">
      <alignment horizontal="center" vertical="top" wrapText="1"/>
    </xf>
    <xf numFmtId="0" fontId="10" fillId="2" borderId="1" xfId="2" applyFont="1" applyAlignment="1">
      <alignment horizontal="center"/>
    </xf>
    <xf numFmtId="0" fontId="12" fillId="13" borderId="13" xfId="0" applyFont="1" applyFill="1" applyBorder="1" applyAlignment="1">
      <alignment horizontal="center" vertical="center"/>
    </xf>
    <xf numFmtId="0" fontId="12" fillId="13" borderId="14" xfId="0" applyFont="1" applyFill="1" applyBorder="1" applyAlignment="1">
      <alignment horizontal="center" vertical="center"/>
    </xf>
    <xf numFmtId="0" fontId="12" fillId="14" borderId="70" xfId="0" applyFont="1" applyFill="1" applyBorder="1" applyAlignment="1">
      <alignment horizontal="center"/>
    </xf>
    <xf numFmtId="0" fontId="12" fillId="14" borderId="68" xfId="0" applyFont="1" applyFill="1" applyBorder="1" applyAlignment="1">
      <alignment horizontal="center"/>
    </xf>
    <xf numFmtId="0" fontId="12" fillId="14" borderId="54" xfId="0" applyFont="1" applyFill="1" applyBorder="1" applyAlignment="1">
      <alignment horizontal="center"/>
    </xf>
    <xf numFmtId="0" fontId="12" fillId="14" borderId="69" xfId="0" applyFont="1" applyFill="1" applyBorder="1" applyAlignment="1">
      <alignment horizontal="center"/>
    </xf>
    <xf numFmtId="9" fontId="3" fillId="2" borderId="34" xfId="1" applyFont="1" applyFill="1" applyBorder="1" applyAlignment="1">
      <alignment horizontal="center" vertical="center"/>
    </xf>
    <xf numFmtId="9" fontId="3" fillId="2" borderId="35" xfId="1" applyFont="1" applyFill="1" applyBorder="1" applyAlignment="1">
      <alignment horizontal="center" vertical="center"/>
    </xf>
    <xf numFmtId="9" fontId="3" fillId="2" borderId="36" xfId="1" applyFont="1" applyFill="1" applyBorder="1" applyAlignment="1">
      <alignment horizontal="center" vertical="center"/>
    </xf>
    <xf numFmtId="9" fontId="3" fillId="2" borderId="37" xfId="1" applyFont="1" applyFill="1" applyBorder="1" applyAlignment="1">
      <alignment horizontal="center" vertical="center"/>
    </xf>
    <xf numFmtId="0" fontId="13" fillId="2" borderId="38" xfId="2" applyFont="1" applyBorder="1" applyAlignment="1">
      <alignment horizontal="center"/>
    </xf>
    <xf numFmtId="0" fontId="13" fillId="2" borderId="12" xfId="2" applyFont="1" applyBorder="1" applyAlignment="1">
      <alignment horizontal="center"/>
    </xf>
    <xf numFmtId="0" fontId="13" fillId="2" borderId="39" xfId="2" applyFont="1" applyBorder="1" applyAlignment="1">
      <alignment horizontal="center"/>
    </xf>
    <xf numFmtId="0" fontId="13" fillId="2" borderId="40" xfId="2" applyFont="1" applyBorder="1" applyAlignment="1">
      <alignment horizontal="center"/>
    </xf>
  </cellXfs>
  <cellStyles count="8">
    <cellStyle name="40% - Accent1" xfId="3" builtinId="31"/>
    <cellStyle name="40% - Accent2" xfId="4" builtinId="35"/>
    <cellStyle name="40% - Accent3" xfId="5" builtinId="39"/>
    <cellStyle name="40% - Accent4" xfId="6" builtinId="43"/>
    <cellStyle name="Accent6" xfId="7" builtinId="49"/>
    <cellStyle name="Calculation" xfId="2" builtinId="22"/>
    <cellStyle name="Normal" xfId="0" builtinId="0"/>
    <cellStyle name="Per cent" xfId="1" builtinId="5"/>
  </cellStyles>
  <dxfs count="57"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theme="0" tint="-4.9989318521683403E-2"/>
      </font>
      <fill>
        <patternFill>
          <bgColor rgb="FFC00000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6"/>
  <sheetViews>
    <sheetView tabSelected="1" topLeftCell="A17" workbookViewId="0">
      <selection activeCell="H17" sqref="H17"/>
    </sheetView>
  </sheetViews>
  <sheetFormatPr baseColWidth="10" defaultColWidth="14.5" defaultRowHeight="15" outlineLevelRow="1" outlineLevelCol="1" x14ac:dyDescent="0.2"/>
  <cols>
    <col min="1" max="1" width="2.1640625" style="51" customWidth="1"/>
    <col min="2" max="2" width="83.5" customWidth="1"/>
    <col min="3" max="5" width="7.1640625" customWidth="1"/>
    <col min="6" max="6" width="1.33203125" style="51" customWidth="1"/>
    <col min="7" max="7" width="7.83203125" hidden="1" customWidth="1" outlineLevel="1"/>
    <col min="8" max="8" width="10.33203125" customWidth="1" collapsed="1"/>
    <col min="9" max="9" width="0.1640625" hidden="1" customWidth="1" outlineLevel="1"/>
    <col min="10" max="10" width="10.5" customWidth="1" collapsed="1"/>
    <col min="11" max="11" width="2.1640625" style="51" customWidth="1"/>
    <col min="12" max="12" width="27.1640625" customWidth="1"/>
    <col min="13" max="13" width="2.1640625" style="51" customWidth="1"/>
  </cols>
  <sheetData>
    <row r="1" spans="1:13" x14ac:dyDescent="0.2">
      <c r="A1" s="1"/>
      <c r="B1" s="125" t="str">
        <f>"Matrix is not valid - only " &amp;TEXT(MAX(H1,J1), "0%") &amp; " of topics are covered, should be 60% or more"</f>
        <v>Matrix is not valid - only 0% of topics are covered, should be 60% or more</v>
      </c>
      <c r="C1" s="125"/>
      <c r="D1" s="125"/>
      <c r="E1" s="125"/>
      <c r="F1" s="125"/>
      <c r="G1" s="125"/>
      <c r="H1" s="61">
        <f>IFERROR(SUMIFS(G17:G36,H17:H36,"&lt;&gt;", G17:G36, "&gt;=1", $A17:$A36,"&lt;&gt;+")/SUMIFS(G17:G36,G17:G36, "&gt;=1",$A17:$A36,"&lt;&gt;+"),0)</f>
        <v>0</v>
      </c>
      <c r="I1" s="23"/>
      <c r="J1" s="61">
        <f>IFERROR(SUMIFS(I17:I36,J17:J36,"&lt;&gt;", I17:I36, "&gt;=1", $A17:$A36,"&lt;&gt;+")/SUMIFS(I17:I36,I17:I36, "&gt;=1",$A17:$A36,"&lt;&gt;+"),0)</f>
        <v>0</v>
      </c>
      <c r="K1" s="105"/>
      <c r="M1" s="106"/>
    </row>
    <row r="2" spans="1:13" ht="17" x14ac:dyDescent="0.2">
      <c r="A2" s="1"/>
      <c r="B2" s="3" t="s">
        <v>0</v>
      </c>
      <c r="C2" s="4" t="s">
        <v>1</v>
      </c>
      <c r="D2" s="5"/>
      <c r="E2" s="5"/>
      <c r="F2" s="5"/>
      <c r="G2" s="5"/>
      <c r="H2" s="5"/>
      <c r="I2" s="5"/>
      <c r="J2" s="5"/>
      <c r="K2" s="5"/>
      <c r="L2" s="6"/>
      <c r="M2" s="7"/>
    </row>
    <row r="3" spans="1:13" x14ac:dyDescent="0.2">
      <c r="A3" s="1"/>
      <c r="B3" s="5"/>
      <c r="C3" s="8">
        <v>0.09</v>
      </c>
      <c r="D3" s="9">
        <v>0.9</v>
      </c>
      <c r="E3" s="10" t="s">
        <v>2</v>
      </c>
      <c r="F3" s="11"/>
      <c r="G3" s="10"/>
      <c r="H3" s="10"/>
      <c r="I3" s="10"/>
      <c r="J3" s="12" t="s">
        <v>3</v>
      </c>
      <c r="K3" s="5"/>
      <c r="L3" s="6"/>
      <c r="M3" s="7"/>
    </row>
    <row r="4" spans="1:13" x14ac:dyDescent="0.2">
      <c r="A4" s="1"/>
      <c r="B4" s="5"/>
      <c r="C4" s="13">
        <v>0.91</v>
      </c>
      <c r="D4" s="14">
        <v>1.2</v>
      </c>
      <c r="E4" s="15" t="s">
        <v>4</v>
      </c>
      <c r="F4" s="15"/>
      <c r="G4" s="15"/>
      <c r="H4" s="15"/>
      <c r="I4" s="15"/>
      <c r="J4" s="16"/>
      <c r="K4" s="5"/>
      <c r="L4" s="6"/>
      <c r="M4" s="7"/>
    </row>
    <row r="5" spans="1:13" x14ac:dyDescent="0.2">
      <c r="A5" s="1"/>
      <c r="B5" s="5"/>
      <c r="C5" s="17">
        <v>1.21</v>
      </c>
      <c r="D5" s="18">
        <v>2</v>
      </c>
      <c r="E5" s="19" t="s">
        <v>5</v>
      </c>
      <c r="F5" s="19"/>
      <c r="G5" s="19"/>
      <c r="H5" s="19"/>
      <c r="I5" s="19"/>
      <c r="J5" s="20">
        <v>0.75</v>
      </c>
      <c r="K5" s="5"/>
      <c r="L5" s="6"/>
      <c r="M5" s="7"/>
    </row>
    <row r="6" spans="1:13" x14ac:dyDescent="0.2">
      <c r="A6" s="1"/>
      <c r="B6" s="5"/>
      <c r="C6" s="21"/>
      <c r="D6" s="5"/>
      <c r="E6" s="5"/>
      <c r="F6" s="5"/>
      <c r="G6" s="5"/>
      <c r="H6" s="5"/>
      <c r="I6" s="5"/>
      <c r="J6" s="5"/>
      <c r="K6" s="5"/>
      <c r="L6" s="6"/>
      <c r="M6" s="7"/>
    </row>
    <row r="7" spans="1:13" x14ac:dyDescent="0.2">
      <c r="A7" s="1"/>
      <c r="B7" s="5"/>
      <c r="C7" s="21"/>
      <c r="D7" s="5"/>
      <c r="E7" s="5"/>
      <c r="F7" s="5"/>
      <c r="G7" s="5"/>
      <c r="H7" s="5"/>
      <c r="I7" s="5"/>
      <c r="J7" s="5"/>
      <c r="K7" s="5"/>
      <c r="L7" s="6"/>
      <c r="M7" s="7"/>
    </row>
    <row r="8" spans="1:13" ht="16" x14ac:dyDescent="0.2">
      <c r="A8" s="1"/>
      <c r="B8" s="22"/>
      <c r="C8" s="23"/>
      <c r="D8" s="23"/>
      <c r="E8" s="23"/>
      <c r="F8" s="7"/>
      <c r="G8" s="126" t="s">
        <v>6</v>
      </c>
      <c r="H8" s="126"/>
      <c r="I8" s="126"/>
      <c r="J8" s="126"/>
      <c r="K8" s="24"/>
      <c r="L8" s="25"/>
      <c r="M8" s="24"/>
    </row>
    <row r="9" spans="1:13" x14ac:dyDescent="0.2">
      <c r="A9" s="1"/>
      <c r="B9" s="26"/>
      <c r="C9" s="23"/>
      <c r="D9" s="23"/>
      <c r="E9" s="23"/>
      <c r="F9" s="7"/>
      <c r="G9" s="137">
        <f>IF(G10&gt;=$J$5,1,0)</f>
        <v>0</v>
      </c>
      <c r="H9" s="138"/>
      <c r="I9" s="139">
        <f>IF(I10&gt;=$J$5,1,0)</f>
        <v>0</v>
      </c>
      <c r="J9" s="140"/>
      <c r="K9" s="24"/>
      <c r="L9" s="27"/>
      <c r="M9" s="24"/>
    </row>
    <row r="10" spans="1:13" x14ac:dyDescent="0.2">
      <c r="A10" s="1"/>
      <c r="B10" s="28"/>
      <c r="C10" s="23"/>
      <c r="D10" s="23"/>
      <c r="E10" s="23"/>
      <c r="F10" s="7"/>
      <c r="G10" s="135">
        <f>IFERROR(SUMIFS(G$16:G$38,H$16:H$38,"1")/SUMIFS(G$16:G$38,H$16:H$38,"&lt;&gt;"),0)</f>
        <v>0</v>
      </c>
      <c r="H10" s="136"/>
      <c r="I10" s="133">
        <f>IFERROR(SUMIFS(I$16:I$38,J$16:J$38,"1")/SUMIFS(I$16:I$38,J$16:J$38,"&lt;&gt;"),0)</f>
        <v>0</v>
      </c>
      <c r="J10" s="134"/>
      <c r="K10" s="24"/>
      <c r="L10" s="27"/>
      <c r="M10" s="24"/>
    </row>
    <row r="11" spans="1:13" x14ac:dyDescent="0.2">
      <c r="A11" s="1"/>
      <c r="B11" s="28" t="s">
        <v>47</v>
      </c>
      <c r="C11" s="29"/>
      <c r="D11" s="29"/>
      <c r="E11" s="29"/>
      <c r="F11" s="2"/>
      <c r="G11" s="30" t="s">
        <v>7</v>
      </c>
      <c r="H11" s="30"/>
      <c r="I11" s="30"/>
      <c r="J11" s="30" t="s">
        <v>8</v>
      </c>
      <c r="K11" s="31" t="s">
        <v>9</v>
      </c>
      <c r="L11" s="27"/>
      <c r="M11" s="24"/>
    </row>
    <row r="12" spans="1:13" ht="16" x14ac:dyDescent="0.2">
      <c r="A12" s="1"/>
      <c r="B12" s="32" t="s">
        <v>10</v>
      </c>
      <c r="C12" s="33"/>
      <c r="D12" s="33"/>
      <c r="E12" s="34"/>
      <c r="F12" s="1"/>
      <c r="G12" s="102"/>
      <c r="H12" s="103"/>
      <c r="I12" s="103"/>
      <c r="J12" s="104"/>
      <c r="K12" s="7"/>
      <c r="L12" s="27"/>
      <c r="M12" s="24"/>
    </row>
    <row r="13" spans="1:13" x14ac:dyDescent="0.2">
      <c r="A13" s="1"/>
      <c r="B13" s="35"/>
      <c r="C13" s="127" t="s">
        <v>11</v>
      </c>
      <c r="D13" s="127"/>
      <c r="E13" s="128"/>
      <c r="F13" s="1"/>
      <c r="G13" s="129" t="s">
        <v>12</v>
      </c>
      <c r="H13" s="129"/>
      <c r="I13" s="130"/>
      <c r="J13" s="130"/>
      <c r="K13" s="7"/>
      <c r="L13" s="27" t="s">
        <v>13</v>
      </c>
      <c r="M13" s="24"/>
    </row>
    <row r="14" spans="1:13" x14ac:dyDescent="0.2">
      <c r="A14" s="1"/>
      <c r="B14" s="36"/>
      <c r="C14" s="37" t="s">
        <v>14</v>
      </c>
      <c r="D14" s="37" t="s">
        <v>15</v>
      </c>
      <c r="E14" s="38" t="s">
        <v>16</v>
      </c>
      <c r="F14" s="1"/>
      <c r="G14" s="129" t="s">
        <v>14</v>
      </c>
      <c r="H14" s="129"/>
      <c r="I14" s="131" t="s">
        <v>15</v>
      </c>
      <c r="J14" s="132"/>
      <c r="K14" s="7"/>
      <c r="L14" s="27" t="s">
        <v>17</v>
      </c>
      <c r="M14" s="24"/>
    </row>
    <row r="15" spans="1:13" x14ac:dyDescent="0.2">
      <c r="A15" s="1"/>
      <c r="B15" s="39" t="s">
        <v>18</v>
      </c>
      <c r="C15" s="40"/>
      <c r="D15" s="40"/>
      <c r="E15" s="41"/>
      <c r="F15" s="2"/>
      <c r="G15" s="107"/>
      <c r="H15" s="107"/>
      <c r="I15" s="107"/>
      <c r="J15" s="107"/>
      <c r="K15" s="7"/>
      <c r="L15" s="27"/>
      <c r="M15" s="24"/>
    </row>
    <row r="16" spans="1:13" x14ac:dyDescent="0.2">
      <c r="A16" s="42" t="s">
        <v>19</v>
      </c>
      <c r="B16" s="63" t="s">
        <v>20</v>
      </c>
      <c r="C16" s="53">
        <v>2</v>
      </c>
      <c r="D16" s="57">
        <v>2</v>
      </c>
      <c r="E16" s="56">
        <v>0.8</v>
      </c>
      <c r="F16" s="101"/>
      <c r="G16" s="108">
        <f>IF($A16="+",INDEX($C16:$E16,MATCH($G$14,$C$14:$E$14,0)),G15)</f>
        <v>2</v>
      </c>
      <c r="H16" s="111"/>
      <c r="I16" s="108">
        <f>IF($A16="+",INDEX($C16:$E16,MATCH($I$14,$C$14:$E$14,0)),I15)</f>
        <v>2</v>
      </c>
      <c r="J16" s="110"/>
      <c r="K16" s="7"/>
      <c r="L16" s="27"/>
      <c r="M16" s="24"/>
    </row>
    <row r="17" spans="1:13" outlineLevel="1" x14ac:dyDescent="0.2">
      <c r="A17" s="1"/>
      <c r="B17" s="71" t="s">
        <v>42</v>
      </c>
      <c r="C17" s="72">
        <v>2</v>
      </c>
      <c r="D17" s="72">
        <v>3</v>
      </c>
      <c r="E17" s="73">
        <v>4</v>
      </c>
      <c r="F17" s="2"/>
      <c r="G17" s="108">
        <f t="shared" ref="G17:G40" si="0">IF($A17="+",INDEX($C17:$E17,MATCH($G$14,$C$14:$E$14,0)),G16)</f>
        <v>2</v>
      </c>
      <c r="H17" s="118"/>
      <c r="I17" s="108">
        <f t="shared" ref="I17:I40" si="1">IF($A17="+",INDEX($C17:$E17,MATCH($I$14,$C$14:$E$14,0)),I16)</f>
        <v>2</v>
      </c>
      <c r="J17" s="122"/>
      <c r="K17" s="7"/>
      <c r="L17" s="27" t="s">
        <v>21</v>
      </c>
      <c r="M17" s="24"/>
    </row>
    <row r="18" spans="1:13" outlineLevel="1" x14ac:dyDescent="0.2">
      <c r="A18" s="1"/>
      <c r="B18" s="68" t="s">
        <v>22</v>
      </c>
      <c r="C18" s="54">
        <v>2</v>
      </c>
      <c r="D18" s="54">
        <v>3</v>
      </c>
      <c r="E18" s="69">
        <v>4</v>
      </c>
      <c r="F18" s="2"/>
      <c r="G18" s="108">
        <f t="shared" si="0"/>
        <v>2</v>
      </c>
      <c r="H18" s="119"/>
      <c r="I18" s="108">
        <f t="shared" si="1"/>
        <v>2</v>
      </c>
      <c r="J18" s="122"/>
      <c r="K18" s="7"/>
      <c r="L18" s="27"/>
      <c r="M18" s="24"/>
    </row>
    <row r="19" spans="1:13" outlineLevel="1" x14ac:dyDescent="0.2">
      <c r="A19" s="1"/>
      <c r="B19" s="68" t="s">
        <v>23</v>
      </c>
      <c r="C19" s="54">
        <v>2</v>
      </c>
      <c r="D19" s="54">
        <v>3</v>
      </c>
      <c r="E19" s="69">
        <v>4</v>
      </c>
      <c r="F19" s="2"/>
      <c r="G19" s="108">
        <f t="shared" si="0"/>
        <v>2</v>
      </c>
      <c r="H19" s="119"/>
      <c r="I19" s="108">
        <f t="shared" si="1"/>
        <v>2</v>
      </c>
      <c r="J19" s="122"/>
      <c r="K19" s="7"/>
      <c r="L19" s="27"/>
      <c r="M19" s="24"/>
    </row>
    <row r="20" spans="1:13" outlineLevel="1" x14ac:dyDescent="0.2">
      <c r="A20" s="1"/>
      <c r="B20" s="68" t="s">
        <v>24</v>
      </c>
      <c r="C20" s="54">
        <v>2</v>
      </c>
      <c r="D20" s="54">
        <v>3</v>
      </c>
      <c r="E20" s="69">
        <v>4</v>
      </c>
      <c r="F20" s="2"/>
      <c r="G20" s="108">
        <f t="shared" si="0"/>
        <v>2</v>
      </c>
      <c r="H20" s="119"/>
      <c r="I20" s="108">
        <f t="shared" si="1"/>
        <v>2</v>
      </c>
      <c r="J20" s="122"/>
      <c r="K20" s="7"/>
      <c r="L20" s="27"/>
      <c r="M20" s="24"/>
    </row>
    <row r="21" spans="1:13" outlineLevel="1" x14ac:dyDescent="0.2">
      <c r="A21" s="1"/>
      <c r="B21" s="68" t="s">
        <v>25</v>
      </c>
      <c r="C21" s="54">
        <v>2</v>
      </c>
      <c r="D21" s="54">
        <v>3</v>
      </c>
      <c r="E21" s="69">
        <v>4</v>
      </c>
      <c r="F21" s="2"/>
      <c r="G21" s="108">
        <f t="shared" si="0"/>
        <v>2</v>
      </c>
      <c r="H21" s="119"/>
      <c r="I21" s="108">
        <f t="shared" si="1"/>
        <v>2</v>
      </c>
      <c r="J21" s="122"/>
      <c r="K21" s="7"/>
      <c r="L21" s="27"/>
      <c r="M21" s="24"/>
    </row>
    <row r="22" spans="1:13" outlineLevel="1" x14ac:dyDescent="0.2">
      <c r="A22" s="1"/>
      <c r="B22" s="68" t="s">
        <v>40</v>
      </c>
      <c r="C22" s="54">
        <v>1</v>
      </c>
      <c r="D22" s="54">
        <v>2</v>
      </c>
      <c r="E22" s="69">
        <v>3</v>
      </c>
      <c r="F22" s="2"/>
      <c r="G22" s="108">
        <f t="shared" si="0"/>
        <v>2</v>
      </c>
      <c r="H22" s="119"/>
      <c r="I22" s="108">
        <f t="shared" si="1"/>
        <v>2</v>
      </c>
      <c r="J22" s="122"/>
      <c r="K22" s="7"/>
      <c r="L22" s="27"/>
      <c r="M22" s="24"/>
    </row>
    <row r="23" spans="1:13" outlineLevel="1" x14ac:dyDescent="0.2">
      <c r="A23" s="1"/>
      <c r="B23" s="68" t="s">
        <v>26</v>
      </c>
      <c r="C23" s="54">
        <v>2</v>
      </c>
      <c r="D23" s="54">
        <v>3</v>
      </c>
      <c r="E23" s="69">
        <v>4</v>
      </c>
      <c r="F23" s="2"/>
      <c r="G23" s="108">
        <f t="shared" si="0"/>
        <v>2</v>
      </c>
      <c r="H23" s="119"/>
      <c r="I23" s="108">
        <f t="shared" si="1"/>
        <v>2</v>
      </c>
      <c r="J23" s="122"/>
      <c r="K23" s="7"/>
      <c r="L23" s="27"/>
      <c r="M23" s="24"/>
    </row>
    <row r="24" spans="1:13" outlineLevel="1" x14ac:dyDescent="0.2">
      <c r="A24" s="1"/>
      <c r="B24" s="68" t="s">
        <v>43</v>
      </c>
      <c r="C24" s="54">
        <v>2</v>
      </c>
      <c r="D24" s="54">
        <v>3</v>
      </c>
      <c r="E24" s="70">
        <v>4</v>
      </c>
      <c r="F24" s="2"/>
      <c r="G24" s="108">
        <f t="shared" si="0"/>
        <v>2</v>
      </c>
      <c r="H24" s="119"/>
      <c r="I24" s="108">
        <f t="shared" si="1"/>
        <v>2</v>
      </c>
      <c r="J24" s="122"/>
      <c r="K24" s="7"/>
      <c r="L24" s="27"/>
      <c r="M24" s="24"/>
    </row>
    <row r="25" spans="1:13" outlineLevel="1" x14ac:dyDescent="0.2">
      <c r="A25" s="1"/>
      <c r="B25" s="68" t="s">
        <v>41</v>
      </c>
      <c r="C25" s="54">
        <v>1</v>
      </c>
      <c r="D25" s="54">
        <v>2</v>
      </c>
      <c r="E25" s="74">
        <v>3</v>
      </c>
      <c r="F25" s="2"/>
      <c r="G25" s="108">
        <f t="shared" si="0"/>
        <v>2</v>
      </c>
      <c r="H25" s="120"/>
      <c r="I25" s="108">
        <f t="shared" si="1"/>
        <v>2</v>
      </c>
      <c r="J25" s="122"/>
      <c r="K25" s="7"/>
      <c r="L25" s="27"/>
      <c r="M25" s="24"/>
    </row>
    <row r="26" spans="1:13" x14ac:dyDescent="0.2">
      <c r="A26" s="42" t="s">
        <v>19</v>
      </c>
      <c r="B26" s="78" t="s">
        <v>27</v>
      </c>
      <c r="C26" s="79">
        <v>1.2</v>
      </c>
      <c r="D26" s="80">
        <v>2</v>
      </c>
      <c r="E26" s="81">
        <v>1.5</v>
      </c>
      <c r="F26" s="101"/>
      <c r="G26" s="108">
        <f t="shared" si="0"/>
        <v>1.2</v>
      </c>
      <c r="H26" s="109"/>
      <c r="I26" s="108">
        <f t="shared" si="1"/>
        <v>2</v>
      </c>
      <c r="J26" s="109"/>
      <c r="K26" s="7"/>
      <c r="L26" s="27"/>
      <c r="M26" s="24"/>
    </row>
    <row r="27" spans="1:13" outlineLevel="1" x14ac:dyDescent="0.2">
      <c r="A27" s="1"/>
      <c r="B27" s="75" t="s">
        <v>38</v>
      </c>
      <c r="C27" s="72">
        <v>1</v>
      </c>
      <c r="D27" s="72">
        <v>3</v>
      </c>
      <c r="E27" s="73">
        <v>4</v>
      </c>
      <c r="F27" s="2"/>
      <c r="G27" s="108">
        <f t="shared" si="0"/>
        <v>1.2</v>
      </c>
      <c r="H27" s="118"/>
      <c r="I27" s="108">
        <f t="shared" si="1"/>
        <v>2</v>
      </c>
      <c r="J27" s="122"/>
      <c r="K27" s="7"/>
      <c r="L27" s="27"/>
      <c r="M27" s="24"/>
    </row>
    <row r="28" spans="1:13" outlineLevel="1" x14ac:dyDescent="0.2">
      <c r="A28" s="1"/>
      <c r="B28" s="76" t="s">
        <v>28</v>
      </c>
      <c r="C28" s="54">
        <v>1</v>
      </c>
      <c r="D28" s="54">
        <v>3</v>
      </c>
      <c r="E28" s="69">
        <v>4</v>
      </c>
      <c r="F28" s="2"/>
      <c r="G28" s="108">
        <f t="shared" si="0"/>
        <v>1.2</v>
      </c>
      <c r="H28" s="119"/>
      <c r="I28" s="108">
        <f t="shared" si="1"/>
        <v>2</v>
      </c>
      <c r="J28" s="122"/>
      <c r="K28" s="7"/>
      <c r="L28" s="27"/>
      <c r="M28" s="24"/>
    </row>
    <row r="29" spans="1:13" outlineLevel="1" x14ac:dyDescent="0.2">
      <c r="A29" s="1"/>
      <c r="B29" s="76" t="s">
        <v>29</v>
      </c>
      <c r="C29" s="54">
        <v>1</v>
      </c>
      <c r="D29" s="54">
        <v>3</v>
      </c>
      <c r="E29" s="69">
        <v>4</v>
      </c>
      <c r="F29" s="2"/>
      <c r="G29" s="108">
        <f t="shared" si="0"/>
        <v>1.2</v>
      </c>
      <c r="H29" s="119"/>
      <c r="I29" s="108">
        <f t="shared" si="1"/>
        <v>2</v>
      </c>
      <c r="J29" s="122"/>
      <c r="K29" s="7"/>
      <c r="L29" s="27"/>
      <c r="M29" s="24"/>
    </row>
    <row r="30" spans="1:13" outlineLevel="1" x14ac:dyDescent="0.2">
      <c r="A30" s="1"/>
      <c r="B30" s="77" t="s">
        <v>30</v>
      </c>
      <c r="C30" s="54">
        <v>1</v>
      </c>
      <c r="D30" s="54">
        <v>2</v>
      </c>
      <c r="E30" s="69">
        <v>3</v>
      </c>
      <c r="F30" s="2"/>
      <c r="G30" s="108">
        <f t="shared" si="0"/>
        <v>1.2</v>
      </c>
      <c r="H30" s="119"/>
      <c r="I30" s="108">
        <f t="shared" si="1"/>
        <v>2</v>
      </c>
      <c r="J30" s="122"/>
      <c r="K30" s="7"/>
      <c r="L30" s="27"/>
      <c r="M30" s="24"/>
    </row>
    <row r="31" spans="1:13" outlineLevel="1" x14ac:dyDescent="0.2">
      <c r="A31" s="1"/>
      <c r="B31" s="76" t="s">
        <v>39</v>
      </c>
      <c r="C31" s="58">
        <v>1</v>
      </c>
      <c r="D31" s="54">
        <v>2</v>
      </c>
      <c r="E31" s="69">
        <v>3</v>
      </c>
      <c r="F31" s="2"/>
      <c r="G31" s="108">
        <f t="shared" si="0"/>
        <v>1.2</v>
      </c>
      <c r="H31" s="119"/>
      <c r="I31" s="108">
        <f t="shared" si="1"/>
        <v>2</v>
      </c>
      <c r="J31" s="122"/>
      <c r="K31" s="7"/>
      <c r="L31" s="27"/>
      <c r="M31" s="24"/>
    </row>
    <row r="32" spans="1:13" x14ac:dyDescent="0.2">
      <c r="A32" s="42" t="s">
        <v>19</v>
      </c>
      <c r="B32" s="82" t="s">
        <v>31</v>
      </c>
      <c r="C32" s="65">
        <v>0.8</v>
      </c>
      <c r="D32" s="87">
        <v>1</v>
      </c>
      <c r="E32" s="88">
        <v>2</v>
      </c>
      <c r="F32" s="101"/>
      <c r="G32" s="108">
        <f>IF($A32="+",INDEX($C32:$E32,MATCH($G$14,$C$14:$E$14,0)),G31)</f>
        <v>0.8</v>
      </c>
      <c r="H32" s="109"/>
      <c r="I32" s="108">
        <f>IF($A32="+",INDEX($C32:$E32,MATCH($I$14,$C$14:$E$14,0)),I31)</f>
        <v>1</v>
      </c>
      <c r="J32" s="109"/>
      <c r="K32" s="7"/>
      <c r="L32" s="27"/>
      <c r="M32" s="24"/>
    </row>
    <row r="33" spans="1:13" outlineLevel="1" x14ac:dyDescent="0.2">
      <c r="A33" s="1"/>
      <c r="B33" s="76" t="s">
        <v>44</v>
      </c>
      <c r="C33" s="83">
        <v>1</v>
      </c>
      <c r="D33" s="84">
        <v>2</v>
      </c>
      <c r="E33" s="85">
        <v>4</v>
      </c>
      <c r="F33" s="2"/>
      <c r="G33" s="108">
        <f t="shared" si="0"/>
        <v>0.8</v>
      </c>
      <c r="H33" s="118"/>
      <c r="I33" s="108">
        <f t="shared" si="1"/>
        <v>1</v>
      </c>
      <c r="J33" s="123"/>
      <c r="K33" s="7"/>
      <c r="L33" s="27"/>
      <c r="M33" s="24"/>
    </row>
    <row r="34" spans="1:13" outlineLevel="1" x14ac:dyDescent="0.2">
      <c r="A34" s="1"/>
      <c r="B34" s="76" t="s">
        <v>32</v>
      </c>
      <c r="C34" s="62">
        <v>1</v>
      </c>
      <c r="D34" s="55">
        <v>2</v>
      </c>
      <c r="E34" s="86">
        <v>4</v>
      </c>
      <c r="F34" s="2"/>
      <c r="G34" s="108">
        <f t="shared" si="0"/>
        <v>0.8</v>
      </c>
      <c r="H34" s="119"/>
      <c r="I34" s="108">
        <f t="shared" si="1"/>
        <v>1</v>
      </c>
      <c r="J34" s="122"/>
      <c r="K34" s="7"/>
      <c r="L34" s="27"/>
      <c r="M34" s="24"/>
    </row>
    <row r="35" spans="1:13" outlineLevel="1" x14ac:dyDescent="0.2">
      <c r="A35" s="1"/>
      <c r="B35" s="76" t="s">
        <v>33</v>
      </c>
      <c r="C35" s="64">
        <v>1</v>
      </c>
      <c r="D35" s="55">
        <v>3</v>
      </c>
      <c r="E35" s="86">
        <v>4</v>
      </c>
      <c r="F35" s="2"/>
      <c r="G35" s="108">
        <f t="shared" si="0"/>
        <v>0.8</v>
      </c>
      <c r="H35" s="119"/>
      <c r="I35" s="108">
        <f t="shared" si="1"/>
        <v>1</v>
      </c>
      <c r="J35" s="122"/>
      <c r="K35" s="7"/>
      <c r="L35" s="27"/>
      <c r="M35" s="24"/>
    </row>
    <row r="36" spans="1:13" ht="16" outlineLevel="1" x14ac:dyDescent="0.2">
      <c r="A36" s="1"/>
      <c r="B36" s="112" t="s">
        <v>34</v>
      </c>
      <c r="C36" s="113">
        <v>1</v>
      </c>
      <c r="D36" s="114">
        <v>3</v>
      </c>
      <c r="E36" s="115">
        <v>4</v>
      </c>
      <c r="F36" s="116"/>
      <c r="G36" s="117">
        <f t="shared" si="0"/>
        <v>0.8</v>
      </c>
      <c r="H36" s="121"/>
      <c r="I36" s="117">
        <f t="shared" si="1"/>
        <v>1</v>
      </c>
      <c r="J36" s="124"/>
      <c r="K36" s="7"/>
      <c r="L36" s="27"/>
      <c r="M36" s="24"/>
    </row>
    <row r="37" spans="1:13" outlineLevel="1" x14ac:dyDescent="0.2">
      <c r="A37" s="1" t="s">
        <v>19</v>
      </c>
      <c r="B37" s="97" t="s">
        <v>35</v>
      </c>
      <c r="C37" s="98">
        <v>0.8</v>
      </c>
      <c r="D37" s="99">
        <v>1</v>
      </c>
      <c r="E37" s="100">
        <v>1.2</v>
      </c>
      <c r="F37" s="2"/>
      <c r="G37" s="108">
        <f>IF($A37="+",INDEX($C37:$E37,MATCH($G$14,$C$14:$E$14,0)),G36)</f>
        <v>0.8</v>
      </c>
      <c r="H37" s="109"/>
      <c r="I37" s="108">
        <f>IF($A37="+",INDEX($C37:$E37,MATCH($I$14,$C$14:$E$14,0)),I36)</f>
        <v>1</v>
      </c>
      <c r="J37" s="109"/>
      <c r="K37" s="7"/>
      <c r="L37" s="27"/>
      <c r="M37" s="24"/>
    </row>
    <row r="38" spans="1:13" ht="16" outlineLevel="1" x14ac:dyDescent="0.2">
      <c r="A38" s="1"/>
      <c r="B38" s="89" t="s">
        <v>45</v>
      </c>
      <c r="C38" s="90">
        <v>1</v>
      </c>
      <c r="D38" s="91">
        <v>1</v>
      </c>
      <c r="E38" s="85">
        <v>2</v>
      </c>
      <c r="F38" s="2"/>
      <c r="G38" s="108">
        <f t="shared" si="0"/>
        <v>0.8</v>
      </c>
      <c r="H38" s="118"/>
      <c r="I38" s="108">
        <f t="shared" si="1"/>
        <v>1</v>
      </c>
      <c r="J38" s="118"/>
      <c r="K38" s="24"/>
      <c r="L38" s="27"/>
      <c r="M38" s="24"/>
    </row>
    <row r="39" spans="1:13" ht="16" outlineLevel="1" x14ac:dyDescent="0.2">
      <c r="A39" s="1"/>
      <c r="B39" s="92" t="s">
        <v>36</v>
      </c>
      <c r="C39" s="66">
        <v>1</v>
      </c>
      <c r="D39" s="59">
        <v>1</v>
      </c>
      <c r="E39" s="93">
        <v>2</v>
      </c>
      <c r="F39" s="2"/>
      <c r="G39" s="108">
        <f t="shared" si="0"/>
        <v>0.8</v>
      </c>
      <c r="H39" s="119"/>
      <c r="I39" s="108">
        <f t="shared" si="1"/>
        <v>1</v>
      </c>
      <c r="J39" s="119"/>
      <c r="K39" s="24"/>
      <c r="L39" s="27"/>
      <c r="M39" s="24"/>
    </row>
    <row r="40" spans="1:13" ht="16" outlineLevel="1" x14ac:dyDescent="0.2">
      <c r="A40" s="1"/>
      <c r="B40" s="92" t="s">
        <v>46</v>
      </c>
      <c r="C40" s="67">
        <v>1</v>
      </c>
      <c r="D40" s="52">
        <v>1</v>
      </c>
      <c r="E40" s="86">
        <v>2</v>
      </c>
      <c r="F40" s="2"/>
      <c r="G40" s="108">
        <f t="shared" si="0"/>
        <v>0.8</v>
      </c>
      <c r="H40" s="120"/>
      <c r="I40" s="108">
        <f t="shared" si="1"/>
        <v>1</v>
      </c>
      <c r="J40" s="120"/>
      <c r="K40" s="24"/>
      <c r="L40" s="27"/>
      <c r="M40" s="24"/>
    </row>
    <row r="41" spans="1:13" x14ac:dyDescent="0.2">
      <c r="A41" s="42" t="s">
        <v>19</v>
      </c>
      <c r="B41" s="94" t="s">
        <v>37</v>
      </c>
      <c r="C41" s="95"/>
      <c r="D41" s="95"/>
      <c r="E41" s="96"/>
      <c r="F41" s="7"/>
      <c r="G41" s="60"/>
      <c r="H41" s="43"/>
      <c r="I41" s="43"/>
      <c r="J41" s="43"/>
      <c r="K41" s="24"/>
      <c r="L41" s="27"/>
      <c r="M41" s="24"/>
    </row>
    <row r="42" spans="1:13" x14ac:dyDescent="0.2">
      <c r="A42" s="44"/>
      <c r="B42" s="45"/>
      <c r="C42" s="45"/>
      <c r="D42" s="45"/>
      <c r="E42" s="45"/>
      <c r="F42" s="45"/>
      <c r="G42" s="45"/>
      <c r="H42" s="46"/>
      <c r="I42" s="46"/>
      <c r="J42" s="46"/>
      <c r="K42" s="47"/>
      <c r="M42" s="48"/>
    </row>
    <row r="43" spans="1:13" ht="15" customHeight="1" x14ac:dyDescent="0.2">
      <c r="A43" s="49"/>
      <c r="F43" s="49"/>
      <c r="K43" s="49"/>
      <c r="M43" s="49"/>
    </row>
    <row r="44" spans="1:13" ht="15" customHeight="1" x14ac:dyDescent="0.2">
      <c r="A44" s="49"/>
      <c r="B44" s="50"/>
      <c r="F44" s="49"/>
      <c r="K44" s="49"/>
      <c r="M44" s="49"/>
    </row>
    <row r="45" spans="1:13" ht="15" customHeight="1" x14ac:dyDescent="0.2">
      <c r="A45" s="49"/>
      <c r="F45" s="49"/>
      <c r="K45" s="49"/>
      <c r="M45" s="49"/>
    </row>
    <row r="46" spans="1:13" ht="15" customHeight="1" x14ac:dyDescent="0.2">
      <c r="A46" s="49"/>
      <c r="F46" s="49"/>
      <c r="K46" s="49"/>
      <c r="M46" s="49"/>
    </row>
    <row r="47" spans="1:13" ht="15" customHeight="1" x14ac:dyDescent="0.2">
      <c r="A47" s="49"/>
      <c r="F47" s="49"/>
      <c r="K47" s="49"/>
      <c r="M47" s="49"/>
    </row>
    <row r="48" spans="1:13" ht="15" customHeight="1" x14ac:dyDescent="0.2">
      <c r="A48" s="49"/>
      <c r="F48" s="49"/>
      <c r="K48" s="49"/>
      <c r="M48" s="49"/>
    </row>
    <row r="49" spans="1:13" ht="15" customHeight="1" x14ac:dyDescent="0.2">
      <c r="A49" s="49"/>
      <c r="F49" s="49"/>
      <c r="K49" s="49"/>
      <c r="M49" s="49"/>
    </row>
    <row r="50" spans="1:13" ht="15" customHeight="1" x14ac:dyDescent="0.2">
      <c r="A50" s="49"/>
      <c r="F50" s="49"/>
      <c r="K50" s="49"/>
      <c r="M50" s="49"/>
    </row>
    <row r="51" spans="1:13" ht="15" customHeight="1" x14ac:dyDescent="0.2">
      <c r="A51" s="49"/>
      <c r="F51" s="49"/>
      <c r="K51" s="49"/>
      <c r="M51" s="49"/>
    </row>
    <row r="52" spans="1:13" ht="15" customHeight="1" x14ac:dyDescent="0.2">
      <c r="A52" s="49"/>
      <c r="F52" s="49"/>
      <c r="K52" s="49"/>
      <c r="M52" s="49"/>
    </row>
    <row r="53" spans="1:13" ht="15" customHeight="1" x14ac:dyDescent="0.2">
      <c r="A53" s="49"/>
      <c r="F53" s="49"/>
      <c r="K53" s="49"/>
      <c r="M53" s="49"/>
    </row>
    <row r="54" spans="1:13" ht="15" customHeight="1" x14ac:dyDescent="0.2">
      <c r="A54" s="49"/>
      <c r="F54" s="49"/>
      <c r="K54" s="49"/>
      <c r="M54" s="49"/>
    </row>
    <row r="55" spans="1:13" ht="15" customHeight="1" x14ac:dyDescent="0.2">
      <c r="A55" s="49"/>
      <c r="F55" s="49"/>
      <c r="K55" s="49"/>
      <c r="M55" s="49"/>
    </row>
    <row r="56" spans="1:13" ht="15" customHeight="1" x14ac:dyDescent="0.2">
      <c r="A56" s="49"/>
      <c r="F56" s="49"/>
      <c r="K56" s="49"/>
      <c r="M56" s="49"/>
    </row>
    <row r="57" spans="1:13" ht="15" customHeight="1" x14ac:dyDescent="0.2">
      <c r="A57" s="49"/>
      <c r="F57" s="49"/>
      <c r="K57" s="49"/>
      <c r="M57" s="49"/>
    </row>
    <row r="58" spans="1:13" ht="15" customHeight="1" x14ac:dyDescent="0.2">
      <c r="A58" s="49"/>
      <c r="F58" s="49"/>
      <c r="K58" s="49"/>
      <c r="M58" s="49"/>
    </row>
    <row r="59" spans="1:13" ht="15" customHeight="1" x14ac:dyDescent="0.2">
      <c r="A59" s="49"/>
      <c r="F59" s="49"/>
      <c r="K59" s="49"/>
      <c r="M59" s="49"/>
    </row>
    <row r="60" spans="1:13" ht="15" customHeight="1" x14ac:dyDescent="0.2">
      <c r="A60" s="49"/>
      <c r="F60" s="49"/>
      <c r="K60" s="49"/>
      <c r="M60" s="49"/>
    </row>
    <row r="61" spans="1:13" ht="15" customHeight="1" x14ac:dyDescent="0.2">
      <c r="A61" s="49"/>
      <c r="F61" s="49"/>
      <c r="K61" s="49"/>
      <c r="M61" s="49"/>
    </row>
    <row r="62" spans="1:13" ht="15" customHeight="1" x14ac:dyDescent="0.2">
      <c r="A62" s="49"/>
      <c r="F62" s="49"/>
      <c r="K62" s="49"/>
      <c r="M62" s="49"/>
    </row>
    <row r="63" spans="1:13" ht="15" customHeight="1" x14ac:dyDescent="0.2">
      <c r="A63" s="49"/>
      <c r="F63" s="49"/>
      <c r="K63" s="49"/>
      <c r="M63" s="49"/>
    </row>
    <row r="64" spans="1:13" ht="15" customHeight="1" x14ac:dyDescent="0.2">
      <c r="A64" s="49"/>
      <c r="F64" s="49"/>
      <c r="K64" s="49"/>
      <c r="M64" s="49"/>
    </row>
    <row r="65" spans="1:13" ht="15" customHeight="1" x14ac:dyDescent="0.2">
      <c r="A65" s="49"/>
      <c r="F65" s="49"/>
      <c r="K65" s="49"/>
      <c r="M65" s="49"/>
    </row>
    <row r="66" spans="1:13" ht="15" customHeight="1" x14ac:dyDescent="0.2">
      <c r="A66" s="49"/>
      <c r="F66" s="49"/>
      <c r="K66" s="49"/>
      <c r="M66" s="49"/>
    </row>
    <row r="67" spans="1:13" ht="15" customHeight="1" x14ac:dyDescent="0.2">
      <c r="A67" s="49"/>
      <c r="F67" s="49"/>
      <c r="K67" s="49"/>
      <c r="M67" s="49"/>
    </row>
    <row r="68" spans="1:13" ht="15" customHeight="1" x14ac:dyDescent="0.2">
      <c r="A68" s="49"/>
      <c r="F68" s="49"/>
      <c r="K68" s="49"/>
      <c r="M68" s="49"/>
    </row>
    <row r="69" spans="1:13" ht="15" customHeight="1" x14ac:dyDescent="0.2">
      <c r="A69" s="49"/>
      <c r="F69" s="49"/>
      <c r="K69" s="49"/>
      <c r="M69" s="49"/>
    </row>
    <row r="70" spans="1:13" ht="15" customHeight="1" x14ac:dyDescent="0.2">
      <c r="A70" s="49"/>
      <c r="F70" s="49"/>
      <c r="K70" s="49"/>
      <c r="M70" s="49"/>
    </row>
    <row r="71" spans="1:13" ht="15" customHeight="1" x14ac:dyDescent="0.2">
      <c r="A71" s="49"/>
      <c r="F71" s="49"/>
      <c r="K71" s="49"/>
      <c r="M71" s="49"/>
    </row>
    <row r="72" spans="1:13" ht="15" customHeight="1" x14ac:dyDescent="0.2">
      <c r="A72" s="49"/>
      <c r="F72" s="49"/>
      <c r="K72" s="49"/>
      <c r="M72" s="49"/>
    </row>
    <row r="73" spans="1:13" ht="15" customHeight="1" x14ac:dyDescent="0.2">
      <c r="A73" s="49"/>
      <c r="F73" s="49"/>
      <c r="K73" s="49"/>
      <c r="M73" s="49"/>
    </row>
    <row r="74" spans="1:13" ht="15" customHeight="1" x14ac:dyDescent="0.2">
      <c r="A74" s="49"/>
      <c r="F74" s="49"/>
      <c r="K74" s="49"/>
      <c r="M74" s="49"/>
    </row>
    <row r="75" spans="1:13" ht="15" customHeight="1" x14ac:dyDescent="0.2">
      <c r="A75" s="49"/>
      <c r="F75" s="49"/>
      <c r="K75" s="49"/>
      <c r="M75" s="49"/>
    </row>
    <row r="76" spans="1:13" ht="15" customHeight="1" x14ac:dyDescent="0.2">
      <c r="A76" s="49"/>
      <c r="F76" s="49"/>
      <c r="K76" s="49"/>
      <c r="M76" s="49"/>
    </row>
    <row r="77" spans="1:13" ht="15" customHeight="1" x14ac:dyDescent="0.2">
      <c r="A77" s="49"/>
      <c r="F77" s="49"/>
      <c r="K77" s="49"/>
      <c r="M77" s="49"/>
    </row>
    <row r="78" spans="1:13" ht="15" customHeight="1" x14ac:dyDescent="0.2">
      <c r="A78" s="49"/>
      <c r="F78" s="49"/>
      <c r="K78" s="49"/>
      <c r="M78" s="49"/>
    </row>
    <row r="79" spans="1:13" ht="15" customHeight="1" x14ac:dyDescent="0.2">
      <c r="A79" s="49"/>
      <c r="F79" s="49"/>
      <c r="K79" s="49"/>
      <c r="M79" s="49"/>
    </row>
    <row r="80" spans="1:13" ht="15" customHeight="1" x14ac:dyDescent="0.2">
      <c r="A80" s="49"/>
      <c r="F80" s="49"/>
      <c r="K80" s="49"/>
      <c r="M80" s="49"/>
    </row>
    <row r="81" spans="1:13" ht="15" customHeight="1" x14ac:dyDescent="0.2">
      <c r="A81" s="49"/>
      <c r="F81" s="49"/>
      <c r="K81" s="49"/>
      <c r="M81" s="49"/>
    </row>
    <row r="82" spans="1:13" ht="15" customHeight="1" x14ac:dyDescent="0.2">
      <c r="A82" s="49"/>
      <c r="F82" s="49"/>
      <c r="K82" s="49"/>
      <c r="M82" s="49"/>
    </row>
    <row r="83" spans="1:13" ht="15" customHeight="1" x14ac:dyDescent="0.2">
      <c r="A83" s="49"/>
      <c r="F83" s="49"/>
      <c r="K83" s="49"/>
      <c r="M83" s="49"/>
    </row>
    <row r="84" spans="1:13" ht="15" customHeight="1" x14ac:dyDescent="0.2">
      <c r="A84" s="49"/>
      <c r="F84" s="49"/>
      <c r="K84" s="49"/>
      <c r="M84" s="49"/>
    </row>
    <row r="85" spans="1:13" ht="15" customHeight="1" x14ac:dyDescent="0.2">
      <c r="A85" s="49"/>
      <c r="F85" s="49"/>
      <c r="K85" s="49"/>
      <c r="M85" s="49"/>
    </row>
    <row r="86" spans="1:13" ht="15" customHeight="1" x14ac:dyDescent="0.2">
      <c r="A86" s="49"/>
      <c r="F86" s="49"/>
      <c r="K86" s="49"/>
      <c r="M86" s="49"/>
    </row>
    <row r="87" spans="1:13" ht="15" customHeight="1" x14ac:dyDescent="0.2">
      <c r="A87" s="49"/>
      <c r="F87" s="49"/>
      <c r="K87" s="49"/>
      <c r="M87" s="49"/>
    </row>
    <row r="88" spans="1:13" ht="15" customHeight="1" x14ac:dyDescent="0.2">
      <c r="A88" s="49"/>
      <c r="F88" s="49"/>
      <c r="K88" s="49"/>
      <c r="M88" s="49"/>
    </row>
    <row r="89" spans="1:13" ht="15" customHeight="1" x14ac:dyDescent="0.2">
      <c r="A89" s="49"/>
      <c r="F89" s="49"/>
      <c r="K89" s="49"/>
      <c r="M89" s="49"/>
    </row>
    <row r="90" spans="1:13" ht="15" customHeight="1" x14ac:dyDescent="0.2">
      <c r="A90" s="49"/>
      <c r="F90" s="49"/>
      <c r="K90" s="49"/>
      <c r="M90" s="49"/>
    </row>
    <row r="91" spans="1:13" ht="15" customHeight="1" x14ac:dyDescent="0.2">
      <c r="A91" s="49"/>
      <c r="F91" s="49"/>
      <c r="K91" s="49"/>
      <c r="M91" s="49"/>
    </row>
    <row r="92" spans="1:13" ht="15" customHeight="1" x14ac:dyDescent="0.2">
      <c r="A92" s="49"/>
      <c r="F92" s="49"/>
      <c r="K92" s="49"/>
      <c r="M92" s="49"/>
    </row>
    <row r="93" spans="1:13" ht="15" customHeight="1" x14ac:dyDescent="0.2">
      <c r="A93" s="49"/>
      <c r="F93" s="49"/>
      <c r="K93" s="49"/>
      <c r="M93" s="49"/>
    </row>
    <row r="94" spans="1:13" ht="15" customHeight="1" x14ac:dyDescent="0.2">
      <c r="A94" s="49"/>
      <c r="F94" s="49"/>
      <c r="K94" s="49"/>
      <c r="M94" s="49"/>
    </row>
    <row r="95" spans="1:13" ht="15" customHeight="1" x14ac:dyDescent="0.2">
      <c r="A95" s="49"/>
      <c r="F95" s="49"/>
      <c r="K95" s="49"/>
      <c r="M95" s="49"/>
    </row>
    <row r="96" spans="1:13" ht="15" customHeight="1" x14ac:dyDescent="0.2">
      <c r="A96" s="49"/>
      <c r="F96" s="49"/>
      <c r="K96" s="49"/>
      <c r="M96" s="49"/>
    </row>
    <row r="97" spans="1:13" ht="15" customHeight="1" x14ac:dyDescent="0.2">
      <c r="A97" s="49"/>
      <c r="F97" s="49"/>
      <c r="K97" s="49"/>
      <c r="M97" s="49"/>
    </row>
    <row r="98" spans="1:13" ht="15" customHeight="1" x14ac:dyDescent="0.2">
      <c r="A98" s="49"/>
      <c r="F98" s="49"/>
      <c r="K98" s="49"/>
      <c r="M98" s="49"/>
    </row>
    <row r="99" spans="1:13" ht="15" customHeight="1" x14ac:dyDescent="0.2">
      <c r="A99" s="49"/>
      <c r="F99" s="49"/>
      <c r="K99" s="49"/>
      <c r="M99" s="49"/>
    </row>
    <row r="100" spans="1:13" ht="15" customHeight="1" x14ac:dyDescent="0.2">
      <c r="A100" s="49"/>
      <c r="F100" s="49"/>
      <c r="K100" s="49"/>
      <c r="M100" s="49"/>
    </row>
    <row r="101" spans="1:13" ht="15" customHeight="1" x14ac:dyDescent="0.2">
      <c r="A101" s="49"/>
      <c r="F101" s="49"/>
      <c r="K101" s="49"/>
      <c r="M101" s="49"/>
    </row>
    <row r="102" spans="1:13" ht="15" customHeight="1" x14ac:dyDescent="0.2">
      <c r="A102" s="49"/>
      <c r="F102" s="49"/>
      <c r="K102" s="49"/>
      <c r="M102" s="49"/>
    </row>
    <row r="103" spans="1:13" ht="15" customHeight="1" x14ac:dyDescent="0.2">
      <c r="A103" s="49"/>
      <c r="F103" s="49"/>
      <c r="K103" s="49"/>
      <c r="M103" s="49"/>
    </row>
    <row r="104" spans="1:13" ht="15" customHeight="1" x14ac:dyDescent="0.2">
      <c r="A104" s="49"/>
      <c r="F104" s="49"/>
      <c r="K104" s="49"/>
      <c r="M104" s="49"/>
    </row>
    <row r="105" spans="1:13" ht="15" customHeight="1" x14ac:dyDescent="0.2">
      <c r="A105" s="49"/>
      <c r="F105" s="49"/>
      <c r="K105" s="49"/>
      <c r="M105" s="49"/>
    </row>
    <row r="106" spans="1:13" ht="15" customHeight="1" x14ac:dyDescent="0.2">
      <c r="A106" s="49"/>
      <c r="F106" s="49"/>
      <c r="K106" s="49"/>
      <c r="M106" s="49"/>
    </row>
    <row r="107" spans="1:13" ht="15" customHeight="1" x14ac:dyDescent="0.2">
      <c r="A107" s="49"/>
      <c r="F107" s="49"/>
      <c r="K107" s="49"/>
      <c r="M107" s="49"/>
    </row>
    <row r="108" spans="1:13" ht="15" customHeight="1" x14ac:dyDescent="0.2">
      <c r="A108" s="49"/>
      <c r="F108" s="49"/>
      <c r="K108" s="49"/>
      <c r="M108" s="49"/>
    </row>
    <row r="109" spans="1:13" ht="15" customHeight="1" x14ac:dyDescent="0.2">
      <c r="A109" s="49"/>
      <c r="F109" s="49"/>
      <c r="K109" s="49"/>
      <c r="M109" s="49"/>
    </row>
    <row r="110" spans="1:13" ht="15" customHeight="1" x14ac:dyDescent="0.2">
      <c r="A110" s="49"/>
      <c r="F110" s="49"/>
      <c r="K110" s="49"/>
      <c r="M110" s="49"/>
    </row>
    <row r="111" spans="1:13" ht="15" customHeight="1" x14ac:dyDescent="0.2">
      <c r="A111" s="49"/>
      <c r="F111" s="49"/>
      <c r="K111" s="49"/>
      <c r="M111" s="49"/>
    </row>
    <row r="112" spans="1:13" ht="15" customHeight="1" x14ac:dyDescent="0.2">
      <c r="A112" s="49"/>
      <c r="F112" s="49"/>
      <c r="K112" s="49"/>
      <c r="M112" s="49"/>
    </row>
    <row r="113" spans="1:13" ht="15" customHeight="1" x14ac:dyDescent="0.2">
      <c r="A113" s="49"/>
      <c r="F113" s="49"/>
      <c r="K113" s="49"/>
      <c r="M113" s="49"/>
    </row>
    <row r="114" spans="1:13" ht="15" customHeight="1" x14ac:dyDescent="0.2">
      <c r="A114" s="49"/>
      <c r="F114" s="49"/>
      <c r="K114" s="49"/>
      <c r="M114" s="49"/>
    </row>
    <row r="115" spans="1:13" ht="15" customHeight="1" x14ac:dyDescent="0.2">
      <c r="A115" s="49"/>
      <c r="F115" s="49"/>
      <c r="K115" s="49"/>
      <c r="M115" s="49"/>
    </row>
    <row r="116" spans="1:13" ht="15" customHeight="1" x14ac:dyDescent="0.2">
      <c r="A116" s="49"/>
      <c r="F116" s="49"/>
      <c r="K116" s="49"/>
      <c r="M116" s="49"/>
    </row>
    <row r="117" spans="1:13" ht="15" customHeight="1" x14ac:dyDescent="0.2">
      <c r="A117" s="49"/>
      <c r="F117" s="49"/>
      <c r="K117" s="49"/>
      <c r="M117" s="49"/>
    </row>
    <row r="118" spans="1:13" ht="15" customHeight="1" x14ac:dyDescent="0.2">
      <c r="A118" s="49"/>
      <c r="F118" s="49"/>
      <c r="K118" s="49"/>
      <c r="M118" s="49"/>
    </row>
    <row r="119" spans="1:13" ht="15" customHeight="1" x14ac:dyDescent="0.2">
      <c r="A119" s="49"/>
      <c r="F119" s="49"/>
      <c r="K119" s="49"/>
      <c r="M119" s="49"/>
    </row>
    <row r="120" spans="1:13" ht="15" customHeight="1" x14ac:dyDescent="0.2">
      <c r="A120" s="49"/>
      <c r="F120" s="49"/>
      <c r="K120" s="49"/>
      <c r="M120" s="49"/>
    </row>
    <row r="121" spans="1:13" ht="15" customHeight="1" x14ac:dyDescent="0.2">
      <c r="A121" s="49"/>
      <c r="F121" s="49"/>
      <c r="K121" s="49"/>
      <c r="M121" s="49"/>
    </row>
    <row r="122" spans="1:13" ht="15" customHeight="1" x14ac:dyDescent="0.2">
      <c r="A122" s="49"/>
      <c r="F122" s="49"/>
      <c r="K122" s="49"/>
      <c r="M122" s="49"/>
    </row>
    <row r="123" spans="1:13" ht="15" customHeight="1" x14ac:dyDescent="0.2">
      <c r="A123" s="49"/>
      <c r="F123" s="49"/>
      <c r="K123" s="49"/>
      <c r="M123" s="49"/>
    </row>
    <row r="124" spans="1:13" ht="15" customHeight="1" x14ac:dyDescent="0.2">
      <c r="A124" s="49"/>
      <c r="F124" s="49"/>
      <c r="K124" s="49"/>
      <c r="M124" s="49"/>
    </row>
    <row r="125" spans="1:13" ht="15" customHeight="1" x14ac:dyDescent="0.2">
      <c r="A125" s="49"/>
      <c r="F125" s="49"/>
      <c r="K125" s="49"/>
      <c r="M125" s="49"/>
    </row>
    <row r="126" spans="1:13" ht="15" customHeight="1" x14ac:dyDescent="0.2">
      <c r="A126" s="49"/>
      <c r="F126" s="49"/>
      <c r="K126" s="49"/>
      <c r="M126" s="49"/>
    </row>
    <row r="127" spans="1:13" ht="15" customHeight="1" x14ac:dyDescent="0.2">
      <c r="A127" s="49"/>
      <c r="F127" s="49"/>
      <c r="K127" s="49"/>
      <c r="M127" s="49"/>
    </row>
    <row r="128" spans="1:13" ht="15" customHeight="1" x14ac:dyDescent="0.2">
      <c r="A128" s="49"/>
      <c r="F128" s="49"/>
      <c r="K128" s="49"/>
      <c r="M128" s="49"/>
    </row>
    <row r="129" spans="1:13" ht="15" customHeight="1" x14ac:dyDescent="0.2">
      <c r="A129" s="49"/>
      <c r="F129" s="49"/>
      <c r="K129" s="49"/>
      <c r="M129" s="49"/>
    </row>
    <row r="130" spans="1:13" ht="15" customHeight="1" x14ac:dyDescent="0.2">
      <c r="A130" s="49"/>
      <c r="F130" s="49"/>
      <c r="K130" s="49"/>
      <c r="M130" s="49"/>
    </row>
    <row r="131" spans="1:13" ht="15" customHeight="1" x14ac:dyDescent="0.2">
      <c r="A131" s="49"/>
      <c r="F131" s="49"/>
      <c r="K131" s="49"/>
      <c r="M131" s="49"/>
    </row>
    <row r="132" spans="1:13" ht="15" customHeight="1" x14ac:dyDescent="0.2">
      <c r="A132" s="49"/>
      <c r="F132" s="49"/>
      <c r="K132" s="49"/>
      <c r="M132" s="49"/>
    </row>
    <row r="133" spans="1:13" ht="15" customHeight="1" x14ac:dyDescent="0.2">
      <c r="A133" s="49"/>
      <c r="F133" s="49"/>
      <c r="K133" s="49"/>
      <c r="M133" s="49"/>
    </row>
    <row r="134" spans="1:13" ht="15" customHeight="1" x14ac:dyDescent="0.2">
      <c r="A134" s="49"/>
      <c r="F134" s="49"/>
      <c r="K134" s="49"/>
      <c r="M134" s="49"/>
    </row>
    <row r="135" spans="1:13" ht="15" customHeight="1" x14ac:dyDescent="0.2">
      <c r="A135" s="49"/>
      <c r="F135" s="49"/>
      <c r="K135" s="49"/>
      <c r="M135" s="49"/>
    </row>
    <row r="136" spans="1:13" ht="15" customHeight="1" x14ac:dyDescent="0.2">
      <c r="A136" s="49"/>
      <c r="F136" s="49"/>
      <c r="K136" s="49"/>
      <c r="M136" s="49"/>
    </row>
    <row r="137" spans="1:13" ht="15" customHeight="1" x14ac:dyDescent="0.2">
      <c r="A137" s="49"/>
      <c r="F137" s="49"/>
      <c r="K137" s="49"/>
      <c r="M137" s="49"/>
    </row>
    <row r="138" spans="1:13" ht="15" customHeight="1" x14ac:dyDescent="0.2">
      <c r="A138" s="49"/>
      <c r="F138" s="49"/>
      <c r="K138" s="49"/>
      <c r="M138" s="49"/>
    </row>
    <row r="139" spans="1:13" ht="15" customHeight="1" x14ac:dyDescent="0.2">
      <c r="A139" s="49"/>
      <c r="F139" s="49"/>
      <c r="K139" s="49"/>
      <c r="M139" s="49"/>
    </row>
    <row r="140" spans="1:13" ht="15" customHeight="1" x14ac:dyDescent="0.2">
      <c r="A140" s="49"/>
      <c r="F140" s="49"/>
      <c r="K140" s="49"/>
      <c r="M140" s="49"/>
    </row>
    <row r="141" spans="1:13" ht="15" customHeight="1" x14ac:dyDescent="0.2">
      <c r="A141" s="49"/>
      <c r="F141" s="49"/>
      <c r="K141" s="49"/>
      <c r="M141" s="49"/>
    </row>
    <row r="142" spans="1:13" ht="15" customHeight="1" x14ac:dyDescent="0.2">
      <c r="A142" s="49"/>
      <c r="F142" s="49"/>
      <c r="K142" s="49"/>
      <c r="M142" s="49"/>
    </row>
    <row r="143" spans="1:13" ht="15" customHeight="1" x14ac:dyDescent="0.2">
      <c r="A143" s="49"/>
      <c r="F143" s="49"/>
      <c r="K143" s="49"/>
      <c r="M143" s="49"/>
    </row>
    <row r="144" spans="1:13" ht="15" customHeight="1" x14ac:dyDescent="0.2">
      <c r="A144" s="49"/>
      <c r="F144" s="49"/>
      <c r="K144" s="49"/>
      <c r="M144" s="49"/>
    </row>
    <row r="145" spans="1:13" ht="15" customHeight="1" x14ac:dyDescent="0.2">
      <c r="A145" s="49"/>
      <c r="F145" s="49"/>
      <c r="K145" s="49"/>
      <c r="M145" s="49"/>
    </row>
    <row r="146" spans="1:13" ht="15" customHeight="1" x14ac:dyDescent="0.2">
      <c r="A146" s="49"/>
      <c r="F146" s="49"/>
      <c r="K146" s="49"/>
      <c r="M146" s="49"/>
    </row>
    <row r="147" spans="1:13" ht="15" customHeight="1" x14ac:dyDescent="0.2">
      <c r="A147" s="49"/>
      <c r="F147" s="49"/>
      <c r="K147" s="49"/>
      <c r="M147" s="49"/>
    </row>
    <row r="148" spans="1:13" ht="15" customHeight="1" x14ac:dyDescent="0.2">
      <c r="A148" s="49"/>
      <c r="F148" s="49"/>
      <c r="K148" s="49"/>
      <c r="M148" s="49"/>
    </row>
    <row r="149" spans="1:13" ht="15" customHeight="1" x14ac:dyDescent="0.2">
      <c r="A149" s="49"/>
      <c r="F149" s="49"/>
      <c r="K149" s="49"/>
      <c r="M149" s="49"/>
    </row>
    <row r="150" spans="1:13" ht="15" customHeight="1" x14ac:dyDescent="0.2">
      <c r="A150" s="49"/>
      <c r="F150" s="49"/>
      <c r="K150" s="49"/>
      <c r="M150" s="49"/>
    </row>
    <row r="151" spans="1:13" ht="15" customHeight="1" x14ac:dyDescent="0.2">
      <c r="A151" s="49"/>
      <c r="F151" s="49"/>
      <c r="K151" s="49"/>
      <c r="M151" s="49"/>
    </row>
    <row r="152" spans="1:13" ht="15" customHeight="1" x14ac:dyDescent="0.2">
      <c r="A152" s="49"/>
      <c r="F152" s="49"/>
      <c r="K152" s="49"/>
      <c r="M152" s="49"/>
    </row>
    <row r="153" spans="1:13" ht="15" customHeight="1" x14ac:dyDescent="0.2">
      <c r="A153" s="49"/>
      <c r="F153" s="49"/>
      <c r="K153" s="49"/>
      <c r="M153" s="49"/>
    </row>
    <row r="154" spans="1:13" ht="15" customHeight="1" x14ac:dyDescent="0.2">
      <c r="A154" s="49"/>
      <c r="F154" s="49"/>
      <c r="K154" s="49"/>
      <c r="M154" s="49"/>
    </row>
    <row r="155" spans="1:13" ht="15" customHeight="1" x14ac:dyDescent="0.2">
      <c r="A155" s="49"/>
      <c r="F155" s="49"/>
      <c r="K155" s="49"/>
      <c r="M155" s="49"/>
    </row>
    <row r="156" spans="1:13" ht="15" customHeight="1" x14ac:dyDescent="0.2">
      <c r="A156" s="49"/>
      <c r="F156" s="49"/>
      <c r="K156" s="49"/>
      <c r="M156" s="49"/>
    </row>
    <row r="157" spans="1:13" ht="15" customHeight="1" x14ac:dyDescent="0.2">
      <c r="A157" s="49"/>
      <c r="F157" s="49"/>
      <c r="K157" s="49"/>
      <c r="M157" s="49"/>
    </row>
    <row r="158" spans="1:13" ht="15" customHeight="1" x14ac:dyDescent="0.2">
      <c r="A158" s="49"/>
      <c r="F158" s="49"/>
      <c r="K158" s="49"/>
      <c r="M158" s="49"/>
    </row>
    <row r="159" spans="1:13" ht="15" customHeight="1" x14ac:dyDescent="0.2">
      <c r="A159" s="49"/>
      <c r="F159" s="49"/>
      <c r="K159" s="49"/>
      <c r="M159" s="49"/>
    </row>
    <row r="160" spans="1:13" ht="15" customHeight="1" x14ac:dyDescent="0.2">
      <c r="A160" s="49"/>
      <c r="F160" s="49"/>
      <c r="K160" s="49"/>
      <c r="M160" s="49"/>
    </row>
    <row r="161" spans="1:13" ht="15" customHeight="1" x14ac:dyDescent="0.2">
      <c r="A161" s="49"/>
      <c r="F161" s="49"/>
      <c r="K161" s="49"/>
      <c r="M161" s="49"/>
    </row>
    <row r="162" spans="1:13" ht="15" customHeight="1" x14ac:dyDescent="0.2">
      <c r="A162" s="49"/>
      <c r="F162" s="49"/>
      <c r="K162" s="49"/>
      <c r="M162" s="49"/>
    </row>
    <row r="163" spans="1:13" ht="15" customHeight="1" x14ac:dyDescent="0.2">
      <c r="A163" s="49"/>
      <c r="F163" s="49"/>
      <c r="K163" s="49"/>
      <c r="M163" s="49"/>
    </row>
    <row r="164" spans="1:13" ht="15" customHeight="1" x14ac:dyDescent="0.2">
      <c r="A164" s="49"/>
      <c r="F164" s="49"/>
      <c r="K164" s="49"/>
      <c r="M164" s="49"/>
    </row>
    <row r="165" spans="1:13" ht="15" customHeight="1" x14ac:dyDescent="0.2">
      <c r="A165" s="49"/>
      <c r="F165" s="49"/>
      <c r="K165" s="49"/>
      <c r="M165" s="49"/>
    </row>
    <row r="166" spans="1:13" ht="15" customHeight="1" x14ac:dyDescent="0.2">
      <c r="A166" s="49"/>
      <c r="F166" s="49"/>
      <c r="K166" s="49"/>
      <c r="M166" s="49"/>
    </row>
    <row r="167" spans="1:13" ht="15" customHeight="1" x14ac:dyDescent="0.2">
      <c r="A167" s="49"/>
      <c r="F167" s="49"/>
      <c r="K167" s="49"/>
      <c r="M167" s="49"/>
    </row>
    <row r="168" spans="1:13" ht="15" customHeight="1" x14ac:dyDescent="0.2">
      <c r="A168" s="49"/>
      <c r="F168" s="49"/>
      <c r="K168" s="49"/>
      <c r="M168" s="49"/>
    </row>
    <row r="169" spans="1:13" ht="15" customHeight="1" x14ac:dyDescent="0.2">
      <c r="A169" s="49"/>
      <c r="F169" s="49"/>
      <c r="K169" s="49"/>
      <c r="M169" s="49"/>
    </row>
    <row r="170" spans="1:13" ht="15" customHeight="1" x14ac:dyDescent="0.2">
      <c r="A170" s="49"/>
      <c r="F170" s="49"/>
      <c r="K170" s="49"/>
      <c r="M170" s="49"/>
    </row>
    <row r="171" spans="1:13" ht="15" customHeight="1" x14ac:dyDescent="0.2">
      <c r="A171" s="49"/>
      <c r="F171" s="49"/>
      <c r="K171" s="49"/>
      <c r="M171" s="49"/>
    </row>
    <row r="172" spans="1:13" ht="15" customHeight="1" x14ac:dyDescent="0.2">
      <c r="A172" s="49"/>
      <c r="F172" s="49"/>
      <c r="K172" s="49"/>
      <c r="M172" s="49"/>
    </row>
    <row r="173" spans="1:13" ht="15" customHeight="1" x14ac:dyDescent="0.2">
      <c r="A173" s="49"/>
      <c r="F173" s="49"/>
      <c r="K173" s="49"/>
      <c r="M173" s="49"/>
    </row>
    <row r="174" spans="1:13" ht="15" customHeight="1" x14ac:dyDescent="0.2">
      <c r="A174" s="49"/>
      <c r="F174" s="49"/>
      <c r="K174" s="49"/>
      <c r="M174" s="49"/>
    </row>
    <row r="175" spans="1:13" ht="15" customHeight="1" x14ac:dyDescent="0.2">
      <c r="A175" s="49"/>
      <c r="F175" s="49"/>
      <c r="K175" s="49"/>
      <c r="M175" s="49"/>
    </row>
    <row r="176" spans="1:13" ht="15" customHeight="1" x14ac:dyDescent="0.2">
      <c r="A176" s="49"/>
      <c r="F176" s="49"/>
      <c r="K176" s="49"/>
      <c r="M176" s="49"/>
    </row>
    <row r="177" spans="1:13" ht="15" customHeight="1" x14ac:dyDescent="0.2">
      <c r="A177" s="49"/>
      <c r="F177" s="49"/>
      <c r="K177" s="49"/>
      <c r="M177" s="49"/>
    </row>
    <row r="178" spans="1:13" ht="15" customHeight="1" x14ac:dyDescent="0.2">
      <c r="A178" s="49"/>
      <c r="F178" s="49"/>
      <c r="K178" s="49"/>
      <c r="M178" s="49"/>
    </row>
    <row r="179" spans="1:13" ht="15" customHeight="1" x14ac:dyDescent="0.2">
      <c r="A179" s="49"/>
      <c r="F179" s="49"/>
      <c r="K179" s="49"/>
      <c r="M179" s="49"/>
    </row>
    <row r="180" spans="1:13" ht="15" customHeight="1" x14ac:dyDescent="0.2">
      <c r="A180" s="49"/>
      <c r="F180" s="49"/>
      <c r="K180" s="49"/>
      <c r="M180" s="49"/>
    </row>
    <row r="181" spans="1:13" ht="15" customHeight="1" x14ac:dyDescent="0.2">
      <c r="A181" s="49"/>
      <c r="F181" s="49"/>
      <c r="K181" s="49"/>
      <c r="M181" s="49"/>
    </row>
    <row r="182" spans="1:13" ht="15" customHeight="1" x14ac:dyDescent="0.2">
      <c r="A182" s="49"/>
      <c r="F182" s="49"/>
      <c r="K182" s="49"/>
      <c r="M182" s="49"/>
    </row>
    <row r="183" spans="1:13" ht="15" customHeight="1" x14ac:dyDescent="0.2">
      <c r="A183" s="49"/>
      <c r="F183" s="49"/>
      <c r="K183" s="49"/>
      <c r="M183" s="49"/>
    </row>
    <row r="184" spans="1:13" ht="15" customHeight="1" x14ac:dyDescent="0.2">
      <c r="A184" s="49"/>
      <c r="F184" s="49"/>
      <c r="K184" s="49"/>
      <c r="M184" s="49"/>
    </row>
    <row r="185" spans="1:13" ht="15" customHeight="1" x14ac:dyDescent="0.2">
      <c r="A185" s="49"/>
      <c r="F185" s="49"/>
      <c r="K185" s="49"/>
      <c r="M185" s="49"/>
    </row>
    <row r="186" spans="1:13" ht="15" customHeight="1" x14ac:dyDescent="0.2">
      <c r="A186" s="49"/>
      <c r="F186" s="49"/>
      <c r="K186" s="49"/>
      <c r="M186" s="49"/>
    </row>
    <row r="187" spans="1:13" ht="15" customHeight="1" x14ac:dyDescent="0.2">
      <c r="A187" s="49"/>
      <c r="F187" s="49"/>
      <c r="K187" s="49"/>
      <c r="M187" s="49"/>
    </row>
    <row r="188" spans="1:13" ht="15" customHeight="1" x14ac:dyDescent="0.2">
      <c r="A188" s="49"/>
      <c r="F188" s="49"/>
      <c r="K188" s="49"/>
      <c r="M188" s="49"/>
    </row>
    <row r="189" spans="1:13" ht="15" customHeight="1" x14ac:dyDescent="0.2">
      <c r="A189" s="49"/>
      <c r="F189" s="49"/>
      <c r="K189" s="49"/>
      <c r="M189" s="49"/>
    </row>
    <row r="190" spans="1:13" ht="15" customHeight="1" x14ac:dyDescent="0.2">
      <c r="A190" s="49"/>
      <c r="F190" s="49"/>
      <c r="K190" s="49"/>
      <c r="M190" s="49"/>
    </row>
    <row r="191" spans="1:13" ht="15" customHeight="1" x14ac:dyDescent="0.2">
      <c r="A191" s="49"/>
      <c r="F191" s="49"/>
      <c r="K191" s="49"/>
      <c r="M191" s="49"/>
    </row>
    <row r="192" spans="1:13" ht="15" customHeight="1" x14ac:dyDescent="0.2">
      <c r="A192" s="49"/>
      <c r="F192" s="49"/>
      <c r="K192" s="49"/>
      <c r="M192" s="49"/>
    </row>
    <row r="193" spans="1:13" ht="15" customHeight="1" x14ac:dyDescent="0.2">
      <c r="A193" s="49"/>
      <c r="F193" s="49"/>
      <c r="K193" s="49"/>
      <c r="M193" s="49"/>
    </row>
    <row r="194" spans="1:13" ht="15" customHeight="1" x14ac:dyDescent="0.2">
      <c r="A194" s="49"/>
      <c r="F194" s="49"/>
      <c r="K194" s="49"/>
      <c r="M194" s="49"/>
    </row>
    <row r="195" spans="1:13" ht="15" customHeight="1" x14ac:dyDescent="0.2">
      <c r="A195" s="49"/>
      <c r="F195" s="49"/>
      <c r="K195" s="49"/>
      <c r="M195" s="49"/>
    </row>
    <row r="196" spans="1:13" ht="15" customHeight="1" x14ac:dyDescent="0.2">
      <c r="A196" s="49"/>
      <c r="F196" s="49"/>
      <c r="K196" s="49"/>
      <c r="M196" s="49"/>
    </row>
    <row r="197" spans="1:13" ht="15" customHeight="1" x14ac:dyDescent="0.2">
      <c r="A197" s="49"/>
      <c r="F197" s="49"/>
      <c r="K197" s="49"/>
      <c r="M197" s="49"/>
    </row>
    <row r="198" spans="1:13" ht="15" customHeight="1" x14ac:dyDescent="0.2">
      <c r="A198" s="49"/>
      <c r="F198" s="49"/>
      <c r="K198" s="49"/>
      <c r="M198" s="49"/>
    </row>
    <row r="199" spans="1:13" ht="15" customHeight="1" x14ac:dyDescent="0.2">
      <c r="A199" s="49"/>
      <c r="F199" s="49"/>
      <c r="K199" s="49"/>
      <c r="M199" s="49"/>
    </row>
    <row r="200" spans="1:13" ht="15" customHeight="1" x14ac:dyDescent="0.2">
      <c r="A200" s="49"/>
      <c r="F200" s="49"/>
      <c r="K200" s="49"/>
      <c r="M200" s="49"/>
    </row>
    <row r="201" spans="1:13" ht="15" customHeight="1" x14ac:dyDescent="0.2">
      <c r="A201" s="49"/>
      <c r="F201" s="49"/>
      <c r="K201" s="49"/>
      <c r="M201" s="49"/>
    </row>
    <row r="202" spans="1:13" ht="15" customHeight="1" x14ac:dyDescent="0.2">
      <c r="A202" s="49"/>
      <c r="F202" s="49"/>
      <c r="K202" s="49"/>
      <c r="M202" s="49"/>
    </row>
    <row r="203" spans="1:13" ht="15" customHeight="1" x14ac:dyDescent="0.2">
      <c r="A203" s="49"/>
      <c r="F203" s="49"/>
      <c r="K203" s="49"/>
      <c r="M203" s="49"/>
    </row>
    <row r="204" spans="1:13" ht="15" customHeight="1" x14ac:dyDescent="0.2">
      <c r="A204" s="49"/>
      <c r="F204" s="49"/>
      <c r="K204" s="49"/>
      <c r="M204" s="49"/>
    </row>
    <row r="205" spans="1:13" ht="15" customHeight="1" x14ac:dyDescent="0.2">
      <c r="A205" s="49"/>
      <c r="F205" s="49"/>
      <c r="K205" s="49"/>
      <c r="M205" s="49"/>
    </row>
    <row r="206" spans="1:13" ht="15" customHeight="1" x14ac:dyDescent="0.2">
      <c r="A206" s="49"/>
      <c r="F206" s="49"/>
      <c r="K206" s="49"/>
      <c r="M206" s="49"/>
    </row>
    <row r="207" spans="1:13" ht="15" customHeight="1" x14ac:dyDescent="0.2">
      <c r="A207" s="49"/>
      <c r="F207" s="49"/>
      <c r="K207" s="49"/>
      <c r="M207" s="49"/>
    </row>
    <row r="208" spans="1:13" ht="15" customHeight="1" x14ac:dyDescent="0.2">
      <c r="A208" s="49"/>
      <c r="F208" s="49"/>
      <c r="K208" s="49"/>
      <c r="M208" s="49"/>
    </row>
    <row r="209" spans="1:13" ht="15" customHeight="1" x14ac:dyDescent="0.2">
      <c r="A209" s="49"/>
      <c r="F209" s="49"/>
      <c r="K209" s="49"/>
      <c r="M209" s="49"/>
    </row>
    <row r="210" spans="1:13" ht="15" customHeight="1" x14ac:dyDescent="0.2">
      <c r="A210" s="49"/>
      <c r="F210" s="49"/>
      <c r="K210" s="49"/>
      <c r="M210" s="49"/>
    </row>
    <row r="211" spans="1:13" ht="15" customHeight="1" x14ac:dyDescent="0.2">
      <c r="A211" s="49"/>
      <c r="F211" s="49"/>
      <c r="K211" s="49"/>
      <c r="M211" s="49"/>
    </row>
    <row r="212" spans="1:13" ht="15" customHeight="1" x14ac:dyDescent="0.2">
      <c r="A212" s="49"/>
      <c r="F212" s="49"/>
      <c r="K212" s="49"/>
      <c r="M212" s="49"/>
    </row>
    <row r="213" spans="1:13" ht="15" customHeight="1" x14ac:dyDescent="0.2">
      <c r="A213" s="49"/>
      <c r="F213" s="49"/>
      <c r="K213" s="49"/>
      <c r="M213" s="49"/>
    </row>
    <row r="214" spans="1:13" ht="15" customHeight="1" x14ac:dyDescent="0.2">
      <c r="A214" s="49"/>
      <c r="F214" s="49"/>
      <c r="K214" s="49"/>
      <c r="M214" s="49"/>
    </row>
    <row r="215" spans="1:13" ht="15" customHeight="1" x14ac:dyDescent="0.2">
      <c r="A215" s="49"/>
      <c r="F215" s="49"/>
      <c r="K215" s="49"/>
      <c r="M215" s="49"/>
    </row>
    <row r="216" spans="1:13" ht="15" customHeight="1" x14ac:dyDescent="0.2">
      <c r="A216" s="49"/>
      <c r="F216" s="49"/>
      <c r="K216" s="49"/>
      <c r="M216" s="49"/>
    </row>
    <row r="217" spans="1:13" ht="15" customHeight="1" x14ac:dyDescent="0.2">
      <c r="A217" s="49"/>
      <c r="F217" s="49"/>
      <c r="K217" s="49"/>
      <c r="M217" s="49"/>
    </row>
    <row r="218" spans="1:13" ht="15" customHeight="1" x14ac:dyDescent="0.2">
      <c r="A218" s="49"/>
      <c r="F218" s="49"/>
      <c r="K218" s="49"/>
      <c r="M218" s="49"/>
    </row>
    <row r="219" spans="1:13" ht="15" customHeight="1" x14ac:dyDescent="0.2">
      <c r="A219" s="49"/>
      <c r="F219" s="49"/>
      <c r="K219" s="49"/>
      <c r="M219" s="49"/>
    </row>
    <row r="220" spans="1:13" ht="15" customHeight="1" x14ac:dyDescent="0.2">
      <c r="A220" s="49"/>
      <c r="F220" s="49"/>
      <c r="K220" s="49"/>
      <c r="M220" s="49"/>
    </row>
    <row r="221" spans="1:13" ht="15" customHeight="1" x14ac:dyDescent="0.2">
      <c r="A221" s="49"/>
      <c r="F221" s="49"/>
      <c r="K221" s="49"/>
      <c r="M221" s="49"/>
    </row>
    <row r="222" spans="1:13" ht="15" customHeight="1" x14ac:dyDescent="0.2">
      <c r="A222" s="49"/>
      <c r="F222" s="49"/>
      <c r="K222" s="49"/>
      <c r="M222" s="49"/>
    </row>
    <row r="223" spans="1:13" ht="15" customHeight="1" x14ac:dyDescent="0.2">
      <c r="A223" s="49"/>
      <c r="F223" s="49"/>
      <c r="K223" s="49"/>
      <c r="M223" s="49"/>
    </row>
    <row r="224" spans="1:13" ht="15" customHeight="1" x14ac:dyDescent="0.2">
      <c r="A224" s="49"/>
      <c r="F224" s="49"/>
      <c r="K224" s="49"/>
      <c r="M224" s="49"/>
    </row>
    <row r="225" spans="1:13" ht="15" customHeight="1" x14ac:dyDescent="0.2">
      <c r="A225" s="49"/>
      <c r="F225" s="49"/>
      <c r="K225" s="49"/>
      <c r="M225" s="49"/>
    </row>
    <row r="226" spans="1:13" ht="15" customHeight="1" x14ac:dyDescent="0.2">
      <c r="A226" s="49"/>
      <c r="F226" s="49"/>
      <c r="K226" s="49"/>
      <c r="M226" s="49"/>
    </row>
    <row r="227" spans="1:13" ht="15" customHeight="1" x14ac:dyDescent="0.2">
      <c r="A227" s="49"/>
      <c r="F227" s="49"/>
      <c r="K227" s="49"/>
      <c r="M227" s="49"/>
    </row>
    <row r="228" spans="1:13" ht="15" customHeight="1" x14ac:dyDescent="0.2">
      <c r="A228" s="49"/>
      <c r="F228" s="49"/>
      <c r="K228" s="49"/>
      <c r="M228" s="49"/>
    </row>
    <row r="229" spans="1:13" ht="15" customHeight="1" x14ac:dyDescent="0.2">
      <c r="A229" s="49"/>
      <c r="F229" s="49"/>
      <c r="K229" s="49"/>
      <c r="M229" s="49"/>
    </row>
    <row r="230" spans="1:13" ht="15" customHeight="1" x14ac:dyDescent="0.2">
      <c r="A230" s="49"/>
      <c r="F230" s="49"/>
      <c r="K230" s="49"/>
      <c r="M230" s="49"/>
    </row>
    <row r="231" spans="1:13" ht="15" customHeight="1" x14ac:dyDescent="0.2">
      <c r="A231" s="49"/>
      <c r="F231" s="49"/>
      <c r="K231" s="49"/>
      <c r="M231" s="49"/>
    </row>
    <row r="232" spans="1:13" ht="15" customHeight="1" x14ac:dyDescent="0.2">
      <c r="A232" s="49"/>
      <c r="F232" s="49"/>
      <c r="K232" s="49"/>
      <c r="M232" s="49"/>
    </row>
    <row r="233" spans="1:13" ht="15" customHeight="1" x14ac:dyDescent="0.2">
      <c r="A233" s="49"/>
      <c r="F233" s="49"/>
      <c r="K233" s="49"/>
      <c r="M233" s="49"/>
    </row>
    <row r="234" spans="1:13" ht="15" customHeight="1" x14ac:dyDescent="0.2">
      <c r="A234" s="49"/>
      <c r="F234" s="49"/>
      <c r="K234" s="49"/>
      <c r="M234" s="49"/>
    </row>
    <row r="235" spans="1:13" ht="15" customHeight="1" x14ac:dyDescent="0.2">
      <c r="A235" s="49"/>
      <c r="F235" s="49"/>
      <c r="K235" s="49"/>
      <c r="M235" s="49"/>
    </row>
    <row r="236" spans="1:13" ht="15" customHeight="1" x14ac:dyDescent="0.2">
      <c r="A236" s="49"/>
      <c r="F236" s="49"/>
      <c r="K236" s="49"/>
      <c r="M236" s="49"/>
    </row>
    <row r="237" spans="1:13" ht="15" customHeight="1" x14ac:dyDescent="0.2">
      <c r="A237" s="49"/>
      <c r="F237" s="49"/>
      <c r="K237" s="49"/>
      <c r="M237" s="49"/>
    </row>
    <row r="238" spans="1:13" ht="15" customHeight="1" x14ac:dyDescent="0.2">
      <c r="A238" s="49"/>
      <c r="F238" s="49"/>
      <c r="K238" s="49"/>
      <c r="M238" s="49"/>
    </row>
    <row r="239" spans="1:13" ht="15" customHeight="1" x14ac:dyDescent="0.2">
      <c r="A239" s="49"/>
      <c r="F239" s="49"/>
      <c r="K239" s="49"/>
      <c r="M239" s="49"/>
    </row>
    <row r="240" spans="1:13" ht="15" customHeight="1" x14ac:dyDescent="0.2">
      <c r="A240" s="49"/>
      <c r="F240" s="49"/>
      <c r="K240" s="49"/>
      <c r="M240" s="49"/>
    </row>
    <row r="241" spans="1:13" ht="15" customHeight="1" x14ac:dyDescent="0.2">
      <c r="A241" s="49"/>
      <c r="F241" s="49"/>
      <c r="K241" s="49"/>
      <c r="M241" s="49"/>
    </row>
    <row r="242" spans="1:13" ht="15" customHeight="1" x14ac:dyDescent="0.2">
      <c r="A242" s="49"/>
      <c r="F242" s="49"/>
      <c r="K242" s="49"/>
      <c r="M242" s="49"/>
    </row>
    <row r="243" spans="1:13" ht="15" customHeight="1" x14ac:dyDescent="0.2">
      <c r="A243" s="49"/>
      <c r="F243" s="49"/>
      <c r="K243" s="49"/>
      <c r="M243" s="49"/>
    </row>
    <row r="244" spans="1:13" ht="15" customHeight="1" x14ac:dyDescent="0.2">
      <c r="A244" s="49"/>
      <c r="F244" s="49"/>
      <c r="K244" s="49"/>
      <c r="M244" s="49"/>
    </row>
    <row r="245" spans="1:13" ht="15" customHeight="1" x14ac:dyDescent="0.2">
      <c r="A245" s="49"/>
      <c r="F245" s="49"/>
      <c r="K245" s="49"/>
      <c r="M245" s="49"/>
    </row>
    <row r="246" spans="1:13" ht="15" customHeight="1" x14ac:dyDescent="0.2">
      <c r="A246" s="49"/>
      <c r="F246" s="49"/>
      <c r="K246" s="49"/>
      <c r="M246" s="49"/>
    </row>
    <row r="247" spans="1:13" ht="15" customHeight="1" x14ac:dyDescent="0.2">
      <c r="A247" s="49"/>
      <c r="F247" s="49"/>
      <c r="K247" s="49"/>
      <c r="M247" s="49"/>
    </row>
    <row r="248" spans="1:13" ht="15" customHeight="1" x14ac:dyDescent="0.2">
      <c r="A248" s="49"/>
      <c r="F248" s="49"/>
      <c r="K248" s="49"/>
      <c r="M248" s="49"/>
    </row>
    <row r="249" spans="1:13" ht="15" customHeight="1" x14ac:dyDescent="0.2">
      <c r="A249" s="49"/>
      <c r="F249" s="49"/>
      <c r="K249" s="49"/>
      <c r="M249" s="49"/>
    </row>
    <row r="250" spans="1:13" ht="15" customHeight="1" x14ac:dyDescent="0.2">
      <c r="A250" s="49"/>
      <c r="F250" s="49"/>
      <c r="K250" s="49"/>
      <c r="M250" s="49"/>
    </row>
    <row r="251" spans="1:13" ht="15" customHeight="1" x14ac:dyDescent="0.2">
      <c r="A251" s="49"/>
      <c r="F251" s="49"/>
      <c r="K251" s="49"/>
      <c r="M251" s="49"/>
    </row>
    <row r="252" spans="1:13" ht="15" customHeight="1" x14ac:dyDescent="0.2">
      <c r="A252" s="49"/>
      <c r="F252" s="49"/>
      <c r="K252" s="49"/>
      <c r="M252" s="49"/>
    </row>
    <row r="253" spans="1:13" ht="15" customHeight="1" x14ac:dyDescent="0.2">
      <c r="A253" s="49"/>
      <c r="F253" s="49"/>
      <c r="K253" s="49"/>
      <c r="M253" s="49"/>
    </row>
    <row r="254" spans="1:13" ht="15" customHeight="1" x14ac:dyDescent="0.2">
      <c r="A254" s="49"/>
      <c r="F254" s="49"/>
      <c r="K254" s="49"/>
      <c r="M254" s="49"/>
    </row>
    <row r="255" spans="1:13" ht="15" customHeight="1" x14ac:dyDescent="0.2">
      <c r="A255" s="49"/>
      <c r="F255" s="49"/>
      <c r="K255" s="49"/>
      <c r="M255" s="49"/>
    </row>
    <row r="256" spans="1:13" ht="15" customHeight="1" x14ac:dyDescent="0.2">
      <c r="A256" s="49"/>
      <c r="F256" s="49"/>
      <c r="K256" s="49"/>
      <c r="M256" s="49"/>
    </row>
    <row r="257" spans="1:13" ht="15" customHeight="1" x14ac:dyDescent="0.2">
      <c r="A257" s="49"/>
      <c r="F257" s="49"/>
      <c r="K257" s="49"/>
      <c r="M257" s="49"/>
    </row>
    <row r="258" spans="1:13" ht="15" customHeight="1" x14ac:dyDescent="0.2">
      <c r="A258" s="49"/>
      <c r="F258" s="49"/>
      <c r="K258" s="49"/>
      <c r="M258" s="49"/>
    </row>
    <row r="259" spans="1:13" ht="15" customHeight="1" x14ac:dyDescent="0.2">
      <c r="A259" s="49"/>
      <c r="F259" s="49"/>
      <c r="K259" s="49"/>
      <c r="M259" s="49"/>
    </row>
    <row r="260" spans="1:13" ht="15" customHeight="1" x14ac:dyDescent="0.2">
      <c r="A260" s="49"/>
      <c r="F260" s="49"/>
      <c r="K260" s="49"/>
      <c r="M260" s="49"/>
    </row>
    <row r="261" spans="1:13" ht="15" customHeight="1" x14ac:dyDescent="0.2">
      <c r="A261" s="49"/>
      <c r="F261" s="49"/>
      <c r="K261" s="49"/>
      <c r="M261" s="49"/>
    </row>
    <row r="262" spans="1:13" ht="15" customHeight="1" x14ac:dyDescent="0.2">
      <c r="A262" s="49"/>
      <c r="F262" s="49"/>
      <c r="K262" s="49"/>
      <c r="M262" s="49"/>
    </row>
    <row r="263" spans="1:13" ht="15" customHeight="1" x14ac:dyDescent="0.2">
      <c r="A263" s="49"/>
      <c r="F263" s="49"/>
      <c r="K263" s="49"/>
      <c r="M263" s="49"/>
    </row>
    <row r="264" spans="1:13" ht="15" customHeight="1" x14ac:dyDescent="0.2">
      <c r="A264" s="49"/>
      <c r="F264" s="49"/>
      <c r="K264" s="49"/>
      <c r="M264" s="49"/>
    </row>
    <row r="265" spans="1:13" ht="15" customHeight="1" x14ac:dyDescent="0.2">
      <c r="A265" s="49"/>
      <c r="F265" s="49"/>
      <c r="K265" s="49"/>
      <c r="M265" s="49"/>
    </row>
    <row r="266" spans="1:13" ht="15" customHeight="1" x14ac:dyDescent="0.2">
      <c r="A266" s="49"/>
      <c r="F266" s="49"/>
      <c r="K266" s="49"/>
      <c r="M266" s="49"/>
    </row>
    <row r="267" spans="1:13" ht="15" customHeight="1" x14ac:dyDescent="0.2">
      <c r="A267" s="49"/>
      <c r="F267" s="49"/>
      <c r="K267" s="49"/>
      <c r="M267" s="49"/>
    </row>
    <row r="268" spans="1:13" ht="15" customHeight="1" x14ac:dyDescent="0.2">
      <c r="A268" s="49"/>
      <c r="F268" s="49"/>
      <c r="K268" s="49"/>
      <c r="M268" s="49"/>
    </row>
    <row r="269" spans="1:13" ht="15" customHeight="1" x14ac:dyDescent="0.2">
      <c r="A269" s="49"/>
      <c r="F269" s="49"/>
      <c r="K269" s="49"/>
      <c r="M269" s="49"/>
    </row>
    <row r="270" spans="1:13" ht="15" customHeight="1" x14ac:dyDescent="0.2">
      <c r="A270" s="49"/>
      <c r="F270" s="49"/>
      <c r="K270" s="49"/>
      <c r="M270" s="49"/>
    </row>
    <row r="271" spans="1:13" ht="15" customHeight="1" x14ac:dyDescent="0.2">
      <c r="A271" s="49"/>
      <c r="F271" s="49"/>
      <c r="K271" s="49"/>
      <c r="M271" s="49"/>
    </row>
    <row r="272" spans="1:13" ht="15" customHeight="1" x14ac:dyDescent="0.2">
      <c r="A272" s="49"/>
      <c r="F272" s="49"/>
      <c r="K272" s="49"/>
      <c r="M272" s="49"/>
    </row>
    <row r="273" spans="1:13" ht="15" customHeight="1" x14ac:dyDescent="0.2">
      <c r="A273" s="49"/>
      <c r="F273" s="49"/>
      <c r="K273" s="49"/>
      <c r="M273" s="49"/>
    </row>
    <row r="274" spans="1:13" ht="15" customHeight="1" x14ac:dyDescent="0.2">
      <c r="A274" s="49"/>
      <c r="F274" s="49"/>
      <c r="K274" s="49"/>
      <c r="M274" s="49"/>
    </row>
    <row r="275" spans="1:13" ht="15" customHeight="1" x14ac:dyDescent="0.2">
      <c r="A275" s="49"/>
      <c r="F275" s="49"/>
      <c r="K275" s="49"/>
      <c r="M275" s="49"/>
    </row>
    <row r="276" spans="1:13" ht="15" customHeight="1" x14ac:dyDescent="0.2">
      <c r="A276" s="49"/>
      <c r="F276" s="49"/>
      <c r="K276" s="49"/>
      <c r="M276" s="49"/>
    </row>
    <row r="277" spans="1:13" ht="15" customHeight="1" x14ac:dyDescent="0.2">
      <c r="A277" s="49"/>
      <c r="F277" s="49"/>
      <c r="K277" s="49"/>
      <c r="M277" s="49"/>
    </row>
    <row r="278" spans="1:13" ht="15" customHeight="1" x14ac:dyDescent="0.2">
      <c r="A278" s="49"/>
      <c r="F278" s="49"/>
      <c r="K278" s="49"/>
      <c r="M278" s="49"/>
    </row>
    <row r="279" spans="1:13" ht="15" customHeight="1" x14ac:dyDescent="0.2">
      <c r="A279" s="49"/>
      <c r="F279" s="49"/>
      <c r="K279" s="49"/>
      <c r="M279" s="49"/>
    </row>
    <row r="280" spans="1:13" ht="15" customHeight="1" x14ac:dyDescent="0.2">
      <c r="A280" s="49"/>
      <c r="F280" s="49"/>
      <c r="K280" s="49"/>
      <c r="M280" s="49"/>
    </row>
    <row r="281" spans="1:13" ht="15" customHeight="1" x14ac:dyDescent="0.2">
      <c r="A281" s="49"/>
      <c r="F281" s="49"/>
      <c r="K281" s="49"/>
      <c r="M281" s="49"/>
    </row>
    <row r="282" spans="1:13" ht="15" customHeight="1" x14ac:dyDescent="0.2">
      <c r="A282" s="49"/>
      <c r="F282" s="49"/>
      <c r="K282" s="49"/>
      <c r="M282" s="49"/>
    </row>
    <row r="283" spans="1:13" ht="15" customHeight="1" x14ac:dyDescent="0.2">
      <c r="A283" s="49"/>
      <c r="F283" s="49"/>
      <c r="K283" s="49"/>
      <c r="M283" s="49"/>
    </row>
    <row r="284" spans="1:13" ht="15" customHeight="1" x14ac:dyDescent="0.2">
      <c r="A284" s="49"/>
      <c r="F284" s="49"/>
      <c r="K284" s="49"/>
      <c r="M284" s="49"/>
    </row>
    <row r="285" spans="1:13" ht="15" customHeight="1" x14ac:dyDescent="0.2">
      <c r="A285" s="49"/>
      <c r="F285" s="49"/>
      <c r="K285" s="49"/>
      <c r="M285" s="49"/>
    </row>
    <row r="286" spans="1:13" ht="15" customHeight="1" x14ac:dyDescent="0.2">
      <c r="A286" s="49"/>
      <c r="F286" s="49"/>
      <c r="K286" s="49"/>
      <c r="M286" s="49"/>
    </row>
    <row r="287" spans="1:13" ht="15" customHeight="1" x14ac:dyDescent="0.2">
      <c r="A287" s="49"/>
      <c r="F287" s="49"/>
      <c r="K287" s="49"/>
      <c r="M287" s="49"/>
    </row>
    <row r="288" spans="1:13" ht="15" customHeight="1" x14ac:dyDescent="0.2">
      <c r="A288" s="49"/>
      <c r="F288" s="49"/>
      <c r="K288" s="49"/>
      <c r="M288" s="49"/>
    </row>
    <row r="289" spans="1:13" ht="15" customHeight="1" x14ac:dyDescent="0.2">
      <c r="A289" s="49"/>
      <c r="F289" s="49"/>
      <c r="K289" s="49"/>
      <c r="M289" s="49"/>
    </row>
    <row r="290" spans="1:13" ht="15" customHeight="1" x14ac:dyDescent="0.2">
      <c r="A290" s="49"/>
      <c r="F290" s="49"/>
      <c r="K290" s="49"/>
      <c r="M290" s="49"/>
    </row>
    <row r="291" spans="1:13" ht="15" customHeight="1" x14ac:dyDescent="0.2">
      <c r="A291" s="49"/>
      <c r="F291" s="49"/>
      <c r="K291" s="49"/>
      <c r="M291" s="49"/>
    </row>
    <row r="292" spans="1:13" ht="15" customHeight="1" x14ac:dyDescent="0.2">
      <c r="A292" s="49"/>
      <c r="F292" s="49"/>
      <c r="K292" s="49"/>
      <c r="M292" s="49"/>
    </row>
    <row r="293" spans="1:13" ht="15" customHeight="1" x14ac:dyDescent="0.2">
      <c r="A293" s="49"/>
      <c r="F293" s="49"/>
      <c r="K293" s="49"/>
      <c r="M293" s="49"/>
    </row>
    <row r="294" spans="1:13" ht="15" customHeight="1" x14ac:dyDescent="0.2">
      <c r="A294" s="49"/>
      <c r="F294" s="49"/>
      <c r="K294" s="49"/>
      <c r="M294" s="49"/>
    </row>
    <row r="295" spans="1:13" ht="15" customHeight="1" x14ac:dyDescent="0.2">
      <c r="A295" s="49"/>
      <c r="F295" s="49"/>
      <c r="K295" s="49"/>
      <c r="M295" s="49"/>
    </row>
    <row r="296" spans="1:13" ht="15" customHeight="1" x14ac:dyDescent="0.2">
      <c r="A296" s="49"/>
      <c r="F296" s="49"/>
      <c r="K296" s="49"/>
      <c r="M296" s="49"/>
    </row>
    <row r="297" spans="1:13" ht="15" customHeight="1" x14ac:dyDescent="0.2">
      <c r="A297" s="49"/>
      <c r="F297" s="49"/>
      <c r="K297" s="49"/>
      <c r="M297" s="49"/>
    </row>
    <row r="298" spans="1:13" ht="15" customHeight="1" x14ac:dyDescent="0.2">
      <c r="A298" s="49"/>
      <c r="F298" s="49"/>
      <c r="K298" s="49"/>
      <c r="M298" s="49"/>
    </row>
    <row r="299" spans="1:13" ht="15" customHeight="1" x14ac:dyDescent="0.2">
      <c r="A299" s="49"/>
      <c r="F299" s="49"/>
      <c r="K299" s="49"/>
      <c r="M299" s="49"/>
    </row>
    <row r="300" spans="1:13" ht="15" customHeight="1" x14ac:dyDescent="0.2">
      <c r="A300" s="49"/>
      <c r="F300" s="49"/>
      <c r="K300" s="49"/>
      <c r="M300" s="49"/>
    </row>
    <row r="301" spans="1:13" ht="15" customHeight="1" x14ac:dyDescent="0.2">
      <c r="A301" s="49"/>
      <c r="F301" s="49"/>
      <c r="K301" s="49"/>
      <c r="M301" s="49"/>
    </row>
    <row r="302" spans="1:13" ht="15" customHeight="1" x14ac:dyDescent="0.2">
      <c r="A302" s="49"/>
      <c r="F302" s="49"/>
      <c r="K302" s="49"/>
      <c r="M302" s="49"/>
    </row>
    <row r="303" spans="1:13" ht="15" customHeight="1" x14ac:dyDescent="0.2">
      <c r="A303" s="49"/>
      <c r="F303" s="49"/>
      <c r="K303" s="49"/>
      <c r="M303" s="49"/>
    </row>
    <row r="304" spans="1:13" ht="15" customHeight="1" x14ac:dyDescent="0.2">
      <c r="A304" s="49"/>
      <c r="F304" s="49"/>
      <c r="K304" s="49"/>
      <c r="M304" s="49"/>
    </row>
    <row r="305" spans="1:13" ht="15" customHeight="1" x14ac:dyDescent="0.2">
      <c r="A305" s="49"/>
      <c r="F305" s="49"/>
      <c r="K305" s="49"/>
      <c r="M305" s="49"/>
    </row>
    <row r="306" spans="1:13" ht="15" customHeight="1" x14ac:dyDescent="0.2">
      <c r="A306" s="49"/>
      <c r="F306" s="49"/>
      <c r="K306" s="49"/>
      <c r="M306" s="49"/>
    </row>
    <row r="307" spans="1:13" ht="15" customHeight="1" x14ac:dyDescent="0.2">
      <c r="A307" s="49"/>
      <c r="F307" s="49"/>
      <c r="K307" s="49"/>
      <c r="M307" s="49"/>
    </row>
    <row r="308" spans="1:13" ht="15" customHeight="1" x14ac:dyDescent="0.2">
      <c r="A308" s="49"/>
      <c r="F308" s="49"/>
      <c r="K308" s="49"/>
      <c r="M308" s="49"/>
    </row>
    <row r="309" spans="1:13" ht="15" customHeight="1" x14ac:dyDescent="0.2">
      <c r="A309" s="49"/>
      <c r="F309" s="49"/>
      <c r="K309" s="49"/>
      <c r="M309" s="49"/>
    </row>
    <row r="310" spans="1:13" ht="15" customHeight="1" x14ac:dyDescent="0.2">
      <c r="A310" s="49"/>
      <c r="F310" s="49"/>
      <c r="K310" s="49"/>
      <c r="M310" s="49"/>
    </row>
    <row r="311" spans="1:13" ht="15" customHeight="1" x14ac:dyDescent="0.2">
      <c r="A311" s="49"/>
      <c r="F311" s="49"/>
      <c r="K311" s="49"/>
      <c r="M311" s="49"/>
    </row>
    <row r="312" spans="1:13" ht="15" customHeight="1" x14ac:dyDescent="0.2">
      <c r="A312" s="49"/>
      <c r="F312" s="49"/>
      <c r="K312" s="49"/>
      <c r="M312" s="49"/>
    </row>
    <row r="313" spans="1:13" ht="15" customHeight="1" x14ac:dyDescent="0.2">
      <c r="A313" s="49"/>
      <c r="F313" s="49"/>
      <c r="K313" s="49"/>
      <c r="M313" s="49"/>
    </row>
    <row r="314" spans="1:13" ht="15" customHeight="1" x14ac:dyDescent="0.2">
      <c r="A314" s="49"/>
      <c r="F314" s="49"/>
      <c r="K314" s="49"/>
      <c r="M314" s="49"/>
    </row>
    <row r="315" spans="1:13" ht="15" customHeight="1" x14ac:dyDescent="0.2">
      <c r="A315" s="49"/>
      <c r="F315" s="49"/>
      <c r="K315" s="49"/>
      <c r="M315" s="49"/>
    </row>
    <row r="316" spans="1:13" ht="15" customHeight="1" x14ac:dyDescent="0.2">
      <c r="A316" s="49"/>
      <c r="F316" s="49"/>
      <c r="K316" s="49"/>
      <c r="M316" s="49"/>
    </row>
    <row r="317" spans="1:13" ht="15" customHeight="1" x14ac:dyDescent="0.2">
      <c r="A317" s="49"/>
      <c r="F317" s="49"/>
      <c r="K317" s="49"/>
      <c r="M317" s="49"/>
    </row>
    <row r="318" spans="1:13" ht="15" customHeight="1" x14ac:dyDescent="0.2">
      <c r="A318" s="49"/>
      <c r="F318" s="49"/>
      <c r="K318" s="49"/>
      <c r="M318" s="49"/>
    </row>
    <row r="319" spans="1:13" ht="15" customHeight="1" x14ac:dyDescent="0.2">
      <c r="A319" s="49"/>
      <c r="F319" s="49"/>
      <c r="K319" s="49"/>
      <c r="M319" s="49"/>
    </row>
    <row r="320" spans="1:13" ht="15" customHeight="1" x14ac:dyDescent="0.2">
      <c r="A320" s="49"/>
      <c r="F320" s="49"/>
      <c r="K320" s="49"/>
      <c r="M320" s="49"/>
    </row>
    <row r="321" spans="1:13" ht="15" customHeight="1" x14ac:dyDescent="0.2">
      <c r="A321" s="49"/>
      <c r="F321" s="49"/>
      <c r="K321" s="49"/>
      <c r="M321" s="49"/>
    </row>
    <row r="322" spans="1:13" ht="15" customHeight="1" x14ac:dyDescent="0.2">
      <c r="A322" s="49"/>
      <c r="F322" s="49"/>
      <c r="K322" s="49"/>
      <c r="M322" s="49"/>
    </row>
    <row r="323" spans="1:13" ht="15" customHeight="1" x14ac:dyDescent="0.2">
      <c r="A323" s="49"/>
      <c r="F323" s="49"/>
      <c r="K323" s="49"/>
      <c r="M323" s="49"/>
    </row>
    <row r="324" spans="1:13" ht="15" customHeight="1" x14ac:dyDescent="0.2">
      <c r="A324" s="49"/>
      <c r="F324" s="49"/>
      <c r="K324" s="49"/>
      <c r="M324" s="49"/>
    </row>
    <row r="325" spans="1:13" ht="15" customHeight="1" x14ac:dyDescent="0.2">
      <c r="A325" s="49"/>
      <c r="F325" s="49"/>
      <c r="K325" s="49"/>
      <c r="M325" s="49"/>
    </row>
    <row r="326" spans="1:13" ht="15" customHeight="1" x14ac:dyDescent="0.2">
      <c r="A326" s="49"/>
      <c r="F326" s="49"/>
      <c r="K326" s="49"/>
      <c r="M326" s="49"/>
    </row>
    <row r="327" spans="1:13" ht="15" customHeight="1" x14ac:dyDescent="0.2">
      <c r="A327" s="49"/>
      <c r="F327" s="49"/>
      <c r="K327" s="49"/>
      <c r="M327" s="49"/>
    </row>
    <row r="328" spans="1:13" ht="15" customHeight="1" x14ac:dyDescent="0.2">
      <c r="A328" s="49"/>
      <c r="F328" s="49"/>
      <c r="K328" s="49"/>
      <c r="M328" s="49"/>
    </row>
    <row r="329" spans="1:13" ht="15" customHeight="1" x14ac:dyDescent="0.2">
      <c r="A329" s="49"/>
      <c r="F329" s="49"/>
      <c r="K329" s="49"/>
      <c r="M329" s="49"/>
    </row>
    <row r="330" spans="1:13" ht="15" customHeight="1" x14ac:dyDescent="0.2">
      <c r="A330" s="49"/>
      <c r="F330" s="49"/>
      <c r="K330" s="49"/>
      <c r="M330" s="49"/>
    </row>
    <row r="331" spans="1:13" ht="15" customHeight="1" x14ac:dyDescent="0.2">
      <c r="A331" s="49"/>
      <c r="F331" s="49"/>
      <c r="K331" s="49"/>
      <c r="M331" s="49"/>
    </row>
    <row r="332" spans="1:13" ht="15" customHeight="1" x14ac:dyDescent="0.2">
      <c r="A332" s="49"/>
      <c r="F332" s="49"/>
      <c r="K332" s="49"/>
      <c r="M332" s="49"/>
    </row>
    <row r="333" spans="1:13" ht="15" customHeight="1" x14ac:dyDescent="0.2">
      <c r="A333" s="49"/>
      <c r="F333" s="49"/>
      <c r="K333" s="49"/>
      <c r="M333" s="49"/>
    </row>
    <row r="334" spans="1:13" ht="15" customHeight="1" x14ac:dyDescent="0.2">
      <c r="A334" s="49"/>
      <c r="F334" s="49"/>
      <c r="K334" s="49"/>
      <c r="M334" s="49"/>
    </row>
    <row r="335" spans="1:13" ht="15" customHeight="1" x14ac:dyDescent="0.2">
      <c r="A335" s="49"/>
      <c r="F335" s="49"/>
      <c r="K335" s="49"/>
      <c r="M335" s="49"/>
    </row>
    <row r="336" spans="1:13" ht="15" customHeight="1" x14ac:dyDescent="0.2">
      <c r="A336" s="49"/>
      <c r="F336" s="49"/>
      <c r="K336" s="49"/>
      <c r="M336" s="49"/>
    </row>
    <row r="337" spans="1:13" ht="15" customHeight="1" x14ac:dyDescent="0.2">
      <c r="A337" s="49"/>
      <c r="F337" s="49"/>
      <c r="K337" s="49"/>
      <c r="M337" s="49"/>
    </row>
    <row r="338" spans="1:13" ht="15" customHeight="1" x14ac:dyDescent="0.2">
      <c r="A338" s="49"/>
      <c r="F338" s="49"/>
      <c r="K338" s="49"/>
      <c r="M338" s="49"/>
    </row>
    <row r="339" spans="1:13" ht="15" customHeight="1" x14ac:dyDescent="0.2">
      <c r="A339" s="49"/>
      <c r="F339" s="49"/>
      <c r="K339" s="49"/>
      <c r="M339" s="49"/>
    </row>
    <row r="340" spans="1:13" ht="15" customHeight="1" x14ac:dyDescent="0.2">
      <c r="A340" s="49"/>
      <c r="F340" s="49"/>
      <c r="K340" s="49"/>
      <c r="M340" s="49"/>
    </row>
    <row r="341" spans="1:13" ht="15" customHeight="1" x14ac:dyDescent="0.2">
      <c r="A341" s="49"/>
      <c r="F341" s="49"/>
      <c r="K341" s="49"/>
      <c r="M341" s="49"/>
    </row>
    <row r="342" spans="1:13" ht="15" customHeight="1" x14ac:dyDescent="0.2">
      <c r="A342" s="49"/>
      <c r="F342" s="49"/>
      <c r="K342" s="49"/>
      <c r="M342" s="49"/>
    </row>
    <row r="343" spans="1:13" ht="15" customHeight="1" x14ac:dyDescent="0.2">
      <c r="A343" s="49"/>
      <c r="F343" s="49"/>
      <c r="K343" s="49"/>
      <c r="M343" s="49"/>
    </row>
    <row r="344" spans="1:13" ht="15" customHeight="1" x14ac:dyDescent="0.2">
      <c r="A344" s="49"/>
      <c r="F344" s="49"/>
      <c r="K344" s="49"/>
      <c r="M344" s="49"/>
    </row>
    <row r="345" spans="1:13" ht="15" customHeight="1" x14ac:dyDescent="0.2">
      <c r="A345" s="49"/>
      <c r="F345" s="49"/>
      <c r="K345" s="49"/>
      <c r="M345" s="49"/>
    </row>
    <row r="346" spans="1:13" ht="15" customHeight="1" x14ac:dyDescent="0.2">
      <c r="A346" s="49"/>
      <c r="F346" s="49"/>
      <c r="K346" s="49"/>
      <c r="M346" s="49"/>
    </row>
    <row r="347" spans="1:13" ht="15" customHeight="1" x14ac:dyDescent="0.2">
      <c r="A347" s="49"/>
      <c r="F347" s="49"/>
      <c r="K347" s="49"/>
      <c r="M347" s="49"/>
    </row>
    <row r="348" spans="1:13" ht="15" customHeight="1" x14ac:dyDescent="0.2">
      <c r="A348" s="49"/>
      <c r="F348" s="49"/>
      <c r="K348" s="49"/>
      <c r="M348" s="49"/>
    </row>
    <row r="349" spans="1:13" ht="15" customHeight="1" x14ac:dyDescent="0.2">
      <c r="A349" s="49"/>
      <c r="F349" s="49"/>
      <c r="K349" s="49"/>
      <c r="M349" s="49"/>
    </row>
    <row r="350" spans="1:13" ht="15" customHeight="1" x14ac:dyDescent="0.2">
      <c r="A350" s="49"/>
      <c r="F350" s="49"/>
      <c r="K350" s="49"/>
      <c r="M350" s="49"/>
    </row>
    <row r="351" spans="1:13" ht="15" customHeight="1" x14ac:dyDescent="0.2">
      <c r="A351" s="49"/>
      <c r="F351" s="49"/>
      <c r="K351" s="49"/>
      <c r="M351" s="49"/>
    </row>
    <row r="352" spans="1:13" ht="15" customHeight="1" x14ac:dyDescent="0.2">
      <c r="A352" s="49"/>
      <c r="F352" s="49"/>
      <c r="K352" s="49"/>
      <c r="M352" s="49"/>
    </row>
    <row r="353" spans="1:13" ht="15" customHeight="1" x14ac:dyDescent="0.2">
      <c r="A353" s="49"/>
      <c r="F353" s="49"/>
      <c r="K353" s="49"/>
      <c r="M353" s="49"/>
    </row>
    <row r="354" spans="1:13" ht="15" customHeight="1" x14ac:dyDescent="0.2">
      <c r="A354" s="49"/>
      <c r="F354" s="49"/>
      <c r="K354" s="49"/>
      <c r="M354" s="49"/>
    </row>
    <row r="355" spans="1:13" ht="15" customHeight="1" x14ac:dyDescent="0.2">
      <c r="A355" s="49"/>
      <c r="F355" s="49"/>
      <c r="K355" s="49"/>
      <c r="M355" s="49"/>
    </row>
    <row r="356" spans="1:13" ht="15" customHeight="1" x14ac:dyDescent="0.2">
      <c r="A356" s="49"/>
      <c r="F356" s="49"/>
      <c r="K356" s="49"/>
      <c r="M356" s="49"/>
    </row>
    <row r="357" spans="1:13" ht="15" customHeight="1" x14ac:dyDescent="0.2">
      <c r="A357" s="49"/>
      <c r="F357" s="49"/>
      <c r="K357" s="49"/>
      <c r="M357" s="49"/>
    </row>
    <row r="358" spans="1:13" ht="15" customHeight="1" x14ac:dyDescent="0.2">
      <c r="A358" s="49"/>
      <c r="F358" s="49"/>
      <c r="K358" s="49"/>
      <c r="M358" s="49"/>
    </row>
    <row r="359" spans="1:13" ht="15" customHeight="1" x14ac:dyDescent="0.2">
      <c r="A359" s="49"/>
      <c r="F359" s="49"/>
      <c r="K359" s="49"/>
      <c r="M359" s="49"/>
    </row>
    <row r="360" spans="1:13" ht="15" customHeight="1" x14ac:dyDescent="0.2">
      <c r="A360" s="49"/>
      <c r="F360" s="49"/>
      <c r="K360" s="49"/>
      <c r="M360" s="49"/>
    </row>
    <row r="361" spans="1:13" ht="15" customHeight="1" x14ac:dyDescent="0.2">
      <c r="A361" s="49"/>
      <c r="F361" s="49"/>
      <c r="K361" s="49"/>
      <c r="M361" s="49"/>
    </row>
    <row r="362" spans="1:13" ht="15" customHeight="1" x14ac:dyDescent="0.2">
      <c r="A362" s="49"/>
      <c r="F362" s="49"/>
      <c r="K362" s="49"/>
      <c r="M362" s="49"/>
    </row>
    <row r="363" spans="1:13" ht="15" customHeight="1" x14ac:dyDescent="0.2">
      <c r="A363" s="49"/>
      <c r="F363" s="49"/>
      <c r="K363" s="49"/>
      <c r="M363" s="49"/>
    </row>
    <row r="364" spans="1:13" ht="15" customHeight="1" x14ac:dyDescent="0.2">
      <c r="A364" s="49"/>
      <c r="F364" s="49"/>
      <c r="K364" s="49"/>
      <c r="M364" s="49"/>
    </row>
    <row r="365" spans="1:13" ht="15" customHeight="1" x14ac:dyDescent="0.2">
      <c r="A365" s="49"/>
      <c r="F365" s="49"/>
      <c r="K365" s="49"/>
      <c r="M365" s="49"/>
    </row>
    <row r="366" spans="1:13" ht="15" customHeight="1" x14ac:dyDescent="0.2">
      <c r="A366" s="49"/>
      <c r="F366" s="49"/>
      <c r="K366" s="49"/>
      <c r="M366" s="49"/>
    </row>
    <row r="367" spans="1:13" ht="15" customHeight="1" x14ac:dyDescent="0.2">
      <c r="A367" s="49"/>
      <c r="F367" s="49"/>
      <c r="K367" s="49"/>
      <c r="M367" s="49"/>
    </row>
    <row r="368" spans="1:13" ht="15" customHeight="1" x14ac:dyDescent="0.2">
      <c r="A368" s="49"/>
      <c r="F368" s="49"/>
      <c r="K368" s="49"/>
      <c r="M368" s="49"/>
    </row>
    <row r="369" spans="1:13" ht="15" customHeight="1" x14ac:dyDescent="0.2">
      <c r="A369" s="49"/>
      <c r="F369" s="49"/>
      <c r="K369" s="49"/>
      <c r="M369" s="49"/>
    </row>
    <row r="370" spans="1:13" ht="15" customHeight="1" x14ac:dyDescent="0.2">
      <c r="A370" s="49"/>
      <c r="F370" s="49"/>
      <c r="K370" s="49"/>
      <c r="M370" s="49"/>
    </row>
    <row r="371" spans="1:13" ht="15" customHeight="1" x14ac:dyDescent="0.2">
      <c r="A371" s="49"/>
      <c r="F371" s="49"/>
      <c r="K371" s="49"/>
      <c r="M371" s="49"/>
    </row>
    <row r="372" spans="1:13" ht="15" customHeight="1" x14ac:dyDescent="0.2">
      <c r="A372" s="49"/>
      <c r="F372" s="49"/>
      <c r="K372" s="49"/>
      <c r="M372" s="49"/>
    </row>
    <row r="373" spans="1:13" ht="15" customHeight="1" x14ac:dyDescent="0.2">
      <c r="A373" s="49"/>
      <c r="F373" s="49"/>
      <c r="K373" s="49"/>
      <c r="M373" s="49"/>
    </row>
    <row r="374" spans="1:13" ht="15" customHeight="1" x14ac:dyDescent="0.2">
      <c r="A374" s="49"/>
      <c r="F374" s="49"/>
      <c r="K374" s="49"/>
      <c r="M374" s="49"/>
    </row>
    <row r="375" spans="1:13" ht="15" customHeight="1" x14ac:dyDescent="0.2">
      <c r="A375" s="49"/>
      <c r="F375" s="49"/>
      <c r="K375" s="49"/>
      <c r="M375" s="49"/>
    </row>
    <row r="376" spans="1:13" ht="15" customHeight="1" x14ac:dyDescent="0.2">
      <c r="A376" s="49"/>
      <c r="F376" s="49"/>
      <c r="K376" s="49"/>
      <c r="M376" s="49"/>
    </row>
    <row r="377" spans="1:13" ht="15" customHeight="1" x14ac:dyDescent="0.2">
      <c r="A377" s="49"/>
      <c r="F377" s="49"/>
      <c r="K377" s="49"/>
      <c r="M377" s="49"/>
    </row>
    <row r="378" spans="1:13" ht="15" customHeight="1" x14ac:dyDescent="0.2">
      <c r="A378" s="49"/>
      <c r="F378" s="49"/>
      <c r="K378" s="49"/>
      <c r="M378" s="49"/>
    </row>
    <row r="379" spans="1:13" ht="15" customHeight="1" x14ac:dyDescent="0.2">
      <c r="A379" s="49"/>
      <c r="F379" s="49"/>
      <c r="K379" s="49"/>
      <c r="M379" s="49"/>
    </row>
    <row r="380" spans="1:13" ht="15" customHeight="1" x14ac:dyDescent="0.2">
      <c r="A380" s="49"/>
      <c r="F380" s="49"/>
      <c r="K380" s="49"/>
      <c r="M380" s="49"/>
    </row>
    <row r="381" spans="1:13" ht="15" customHeight="1" x14ac:dyDescent="0.2">
      <c r="A381" s="49"/>
      <c r="F381" s="49"/>
      <c r="K381" s="49"/>
      <c r="M381" s="49"/>
    </row>
    <row r="382" spans="1:13" ht="15" customHeight="1" x14ac:dyDescent="0.2">
      <c r="A382" s="49"/>
      <c r="F382" s="49"/>
      <c r="K382" s="49"/>
      <c r="M382" s="49"/>
    </row>
    <row r="383" spans="1:13" ht="15" customHeight="1" x14ac:dyDescent="0.2">
      <c r="A383" s="49"/>
      <c r="F383" s="49"/>
      <c r="K383" s="49"/>
      <c r="M383" s="49"/>
    </row>
    <row r="384" spans="1:13" ht="15" customHeight="1" x14ac:dyDescent="0.2">
      <c r="A384" s="49"/>
      <c r="F384" s="49"/>
      <c r="K384" s="49"/>
      <c r="M384" s="49"/>
    </row>
    <row r="385" spans="1:13" ht="15" customHeight="1" x14ac:dyDescent="0.2">
      <c r="A385" s="49"/>
      <c r="F385" s="49"/>
      <c r="K385" s="49"/>
      <c r="M385" s="49"/>
    </row>
    <row r="386" spans="1:13" ht="15" customHeight="1" x14ac:dyDescent="0.2">
      <c r="A386" s="49"/>
      <c r="F386" s="49"/>
      <c r="K386" s="49"/>
      <c r="M386" s="49"/>
    </row>
    <row r="387" spans="1:13" ht="15" customHeight="1" x14ac:dyDescent="0.2">
      <c r="A387" s="49"/>
      <c r="F387" s="49"/>
      <c r="K387" s="49"/>
      <c r="M387" s="49"/>
    </row>
    <row r="388" spans="1:13" ht="15" customHeight="1" x14ac:dyDescent="0.2">
      <c r="A388" s="49"/>
      <c r="F388" s="49"/>
      <c r="K388" s="49"/>
      <c r="M388" s="49"/>
    </row>
    <row r="389" spans="1:13" ht="15" customHeight="1" x14ac:dyDescent="0.2">
      <c r="A389" s="49"/>
      <c r="F389" s="49"/>
      <c r="K389" s="49"/>
      <c r="M389" s="49"/>
    </row>
    <row r="390" spans="1:13" ht="15" customHeight="1" x14ac:dyDescent="0.2">
      <c r="A390" s="49"/>
      <c r="F390" s="49"/>
      <c r="K390" s="49"/>
      <c r="M390" s="49"/>
    </row>
    <row r="391" spans="1:13" ht="15" customHeight="1" x14ac:dyDescent="0.2">
      <c r="A391" s="49"/>
      <c r="F391" s="49"/>
      <c r="K391" s="49"/>
      <c r="M391" s="49"/>
    </row>
    <row r="392" spans="1:13" ht="15" customHeight="1" x14ac:dyDescent="0.2">
      <c r="A392" s="49"/>
      <c r="F392" s="49"/>
      <c r="K392" s="49"/>
      <c r="M392" s="49"/>
    </row>
    <row r="393" spans="1:13" ht="15" customHeight="1" x14ac:dyDescent="0.2">
      <c r="A393" s="49"/>
      <c r="F393" s="49"/>
      <c r="K393" s="49"/>
      <c r="M393" s="49"/>
    </row>
    <row r="394" spans="1:13" ht="15" customHeight="1" x14ac:dyDescent="0.2">
      <c r="A394" s="49"/>
      <c r="F394" s="49"/>
      <c r="K394" s="49"/>
      <c r="M394" s="49"/>
    </row>
    <row r="395" spans="1:13" ht="15" customHeight="1" x14ac:dyDescent="0.2">
      <c r="A395" s="49"/>
      <c r="F395" s="49"/>
      <c r="K395" s="49"/>
      <c r="M395" s="49"/>
    </row>
    <row r="396" spans="1:13" ht="15" customHeight="1" x14ac:dyDescent="0.2">
      <c r="A396" s="49"/>
      <c r="F396" s="49"/>
      <c r="K396" s="49"/>
      <c r="M396" s="49"/>
    </row>
    <row r="397" spans="1:13" ht="15" customHeight="1" x14ac:dyDescent="0.2">
      <c r="A397" s="49"/>
      <c r="F397" s="49"/>
      <c r="K397" s="49"/>
      <c r="M397" s="49"/>
    </row>
    <row r="398" spans="1:13" ht="15" customHeight="1" x14ac:dyDescent="0.2">
      <c r="A398" s="49"/>
      <c r="F398" s="49"/>
      <c r="K398" s="49"/>
      <c r="M398" s="49"/>
    </row>
    <row r="399" spans="1:13" ht="15" customHeight="1" x14ac:dyDescent="0.2">
      <c r="A399" s="49"/>
      <c r="F399" s="49"/>
      <c r="K399" s="49"/>
      <c r="M399" s="49"/>
    </row>
    <row r="400" spans="1:13" ht="15" customHeight="1" x14ac:dyDescent="0.2">
      <c r="A400" s="49"/>
      <c r="F400" s="49"/>
      <c r="K400" s="49"/>
      <c r="M400" s="49"/>
    </row>
    <row r="401" spans="1:13" ht="15" customHeight="1" x14ac:dyDescent="0.2">
      <c r="A401" s="49"/>
      <c r="F401" s="49"/>
      <c r="K401" s="49"/>
      <c r="M401" s="49"/>
    </row>
    <row r="402" spans="1:13" ht="15" customHeight="1" x14ac:dyDescent="0.2">
      <c r="A402" s="49"/>
      <c r="F402" s="49"/>
      <c r="K402" s="49"/>
      <c r="M402" s="49"/>
    </row>
    <row r="403" spans="1:13" ht="15" customHeight="1" x14ac:dyDescent="0.2">
      <c r="A403" s="49"/>
      <c r="F403" s="49"/>
      <c r="K403" s="49"/>
      <c r="M403" s="49"/>
    </row>
    <row r="404" spans="1:13" ht="15" customHeight="1" x14ac:dyDescent="0.2">
      <c r="A404" s="49"/>
      <c r="F404" s="49"/>
      <c r="K404" s="49"/>
      <c r="M404" s="49"/>
    </row>
    <row r="405" spans="1:13" ht="15" customHeight="1" x14ac:dyDescent="0.2">
      <c r="A405" s="49"/>
      <c r="F405" s="49"/>
      <c r="K405" s="49"/>
      <c r="M405" s="49"/>
    </row>
    <row r="406" spans="1:13" ht="15" customHeight="1" x14ac:dyDescent="0.2">
      <c r="A406" s="49"/>
      <c r="F406" s="49"/>
      <c r="K406" s="49"/>
      <c r="M406" s="49"/>
    </row>
  </sheetData>
  <sheetProtection sheet="1" formatCells="0" formatColumns="0" formatRows="0" insertColumns="0" insertRows="0" insertHyperlinks="0" deleteColumns="0" deleteRows="0" sort="0" autoFilter="0" pivotTables="0"/>
  <mergeCells count="10">
    <mergeCell ref="B1:G1"/>
    <mergeCell ref="G8:J8"/>
    <mergeCell ref="C13:E13"/>
    <mergeCell ref="G13:J13"/>
    <mergeCell ref="G14:H14"/>
    <mergeCell ref="I14:J14"/>
    <mergeCell ref="I10:J10"/>
    <mergeCell ref="G10:H10"/>
    <mergeCell ref="G9:H9"/>
    <mergeCell ref="I9:J9"/>
  </mergeCells>
  <conditionalFormatting sqref="C15:E15 D25 C23 C51:E489 C41:E44">
    <cfRule type="expression" dxfId="56" priority="856">
      <formula>AND(IF(#REF!="0",1),IF(OFFSET(C$15,MATCH("+",$A$15:$A17,1)-1,0)&gt;=$C$5,1),IF(OFFSET(C$15,MATCH("+",$A$15:$A17,1)-1,0)&lt;=$D$5,1))</formula>
    </cfRule>
    <cfRule type="expression" dxfId="55" priority="857">
      <formula>AND(IF($A15="+",1),IF(C15&gt;=$C$5,1),IF(C15&lt;=$D$5,1))</formula>
    </cfRule>
    <cfRule type="expression" dxfId="54" priority="858">
      <formula>AND(IF($A15="+",1),IF(C15&gt;=$C$4,1),IF(C15&lt;=$D$4,1))</formula>
    </cfRule>
    <cfRule type="expression" dxfId="53" priority="859">
      <formula>AND(IF($A15="+",1),IF(C15&gt;=$C$3,1),IF(C15&lt;=$D$3,1))</formula>
    </cfRule>
  </conditionalFormatting>
  <conditionalFormatting sqref="C17:D18 C20:E20">
    <cfRule type="expression" dxfId="52" priority="872">
      <formula>AND(IF(#REF!="0",1),IF(OFFSET(C$15,MATCH("+",$A$15:$A22,1)-1,0)&gt;=$C$5,1),IF(OFFSET(C$15,MATCH("+",$A$15:$A22,1)-1,0)&lt;=$D$5,1))</formula>
    </cfRule>
    <cfRule type="expression" dxfId="51" priority="873">
      <formula>AND(IF($A17="+",1),IF(C17&gt;=$C$5,1),IF(C17&lt;=$D$5,1))</formula>
    </cfRule>
    <cfRule type="expression" dxfId="50" priority="874">
      <formula>AND(IF($A17="+",1),IF(C17&gt;=$C$4,1),IF(C17&lt;=$D$4,1))</formula>
    </cfRule>
    <cfRule type="expression" dxfId="49" priority="875">
      <formula>AND(IF($A17="+",1),IF(C17&gt;=$C$3,1),IF(C17&lt;=$D$3,1))</formula>
    </cfRule>
  </conditionalFormatting>
  <conditionalFormatting sqref="C19:D19 C16:E16 D22:D23 C21:E21 I16:I27 G16:G27 C27:E27 I32 G32 C32:E32 I37:I40 G37:G40">
    <cfRule type="expression" dxfId="48" priority="876">
      <formula>AND(IF(#REF!="0",1),IF(OFFSET(C$15,MATCH("+",$A$15:$A20,1)-1,0)&gt;=$C$5,1),IF(OFFSET(C$15,MATCH("+",$A$15:$A20,1)-1,0)&lt;=$D$5,1))</formula>
    </cfRule>
    <cfRule type="expression" dxfId="47" priority="877">
      <formula>AND(IF($A16="+",1),IF(C16&gt;=$C$5,1),IF(C16&lt;=$D$5,1))</formula>
    </cfRule>
    <cfRule type="expression" dxfId="46" priority="878">
      <formula>AND(IF($A16="+",1),IF(C16&gt;=$C$4,1),IF(C16&lt;=$D$4,1))</formula>
    </cfRule>
    <cfRule type="expression" dxfId="45" priority="879">
      <formula>AND(IF($A16="+",1),IF(C16&gt;=$C$3,1),IF(C16&lt;=$D$3,1))</formula>
    </cfRule>
  </conditionalFormatting>
  <conditionalFormatting sqref="E19 C40:E40">
    <cfRule type="expression" dxfId="44" priority="888">
      <formula>AND(IF(#REF!="0",1),IF(OFFSET(C$15,MATCH("+",$A$15:$A25,1)-1,0)&gt;=$C$5,1),IF(OFFSET(C$15,MATCH("+",$A$15:$A25,1)-1,0)&lt;=$D$5,1))</formula>
    </cfRule>
    <cfRule type="expression" dxfId="43" priority="889">
      <formula>AND(IF($A19="+",1),IF(C19&gt;=$C$5,1),IF(C19&lt;=$D$5,1))</formula>
    </cfRule>
    <cfRule type="expression" dxfId="42" priority="890">
      <formula>AND(IF($A19="+",1),IF(C19&gt;=$C$4,1),IF(C19&lt;=$D$4,1))</formula>
    </cfRule>
    <cfRule type="expression" dxfId="41" priority="891">
      <formula>AND(IF($A19="+",1),IF(C19&gt;=$C$3,1),IF(C19&lt;=$D$3,1))</formula>
    </cfRule>
  </conditionalFormatting>
  <conditionalFormatting sqref="C26:E26 E25 C25 C31:E31 D37">
    <cfRule type="expression" dxfId="40" priority="900">
      <formula>AND(IF(#REF!="0",1),IF(OFFSET(C$15,MATCH("+",$A$15:$A25,1)-1,0)&gt;=$C$5,1),IF(OFFSET(C$15,MATCH("+",$A$15:$A25,1)-1,0)&lt;=$D$5,1))</formula>
    </cfRule>
    <cfRule type="expression" dxfId="39" priority="901">
      <formula>AND(IF($A25="+",1),IF(C25&gt;=$C$5,1),IF(C25&lt;=$D$5,1))</formula>
    </cfRule>
    <cfRule type="expression" dxfId="38" priority="902">
      <formula>AND(IF($A25="+",1),IF(C25&gt;=$C$4,1),IF(C25&lt;=$D$4,1))</formula>
    </cfRule>
    <cfRule type="expression" dxfId="37" priority="903">
      <formula>AND(IF($A25="+",1),IF(C25&gt;=$C$3,1),IF(C25&lt;=$D$3,1))</formula>
    </cfRule>
  </conditionalFormatting>
  <conditionalFormatting sqref="E24 C24 I30:I31 C30:E30 G30:G31 C35:E35">
    <cfRule type="expression" dxfId="36" priority="916">
      <formula>AND(IF(#REF!="0",1),IF(OFFSET(C$15,MATCH("+",$A$15:$A25,1)-1,0)&gt;=$C$5,1),IF(OFFSET(C$15,MATCH("+",$A$15:$A25,1)-1,0)&lt;=$D$5,1))</formula>
    </cfRule>
    <cfRule type="expression" dxfId="35" priority="917">
      <formula>AND(IF($A24="+",1),IF(C24&gt;=$C$5,1),IF(C24&lt;=$D$5,1))</formula>
    </cfRule>
    <cfRule type="expression" dxfId="34" priority="918">
      <formula>AND(IF($A24="+",1),IF(C24&gt;=$C$4,1),IF(C24&lt;=$D$4,1))</formula>
    </cfRule>
    <cfRule type="expression" dxfId="33" priority="919">
      <formula>AND(IF($A24="+",1),IF(C24&gt;=$C$3,1),IF(C24&lt;=$D$3,1))</formula>
    </cfRule>
  </conditionalFormatting>
  <conditionalFormatting sqref="E23 I29 G29 C29:E29 I34:I36 C34:E34 G34:G36">
    <cfRule type="expression" dxfId="32" priority="924">
      <formula>AND(IF(#REF!="0",1),IF(OFFSET(C$15,MATCH("+",$A$15:$A25,1)-1,0)&gt;=$C$5,1),IF(OFFSET(C$15,MATCH("+",$A$15:$A25,1)-1,0)&lt;=$D$5,1))</formula>
    </cfRule>
    <cfRule type="expression" dxfId="31" priority="925">
      <formula>AND(IF($A23="+",1),IF(C23&gt;=$C$5,1),IF(C23&lt;=$D$5,1))</formula>
    </cfRule>
    <cfRule type="expression" dxfId="30" priority="926">
      <formula>AND(IF($A23="+",1),IF(C23&gt;=$C$4,1),IF(C23&lt;=$D$4,1))</formula>
    </cfRule>
    <cfRule type="expression" dxfId="29" priority="927">
      <formula>AND(IF($A23="+",1),IF(C23&gt;=$C$3,1),IF(C23&lt;=$D$3,1))</formula>
    </cfRule>
  </conditionalFormatting>
  <conditionalFormatting sqref="E17">
    <cfRule type="expression" dxfId="28" priority="932">
      <formula>AND(IF(#REF!="0",1),IF(OFFSET(E$15,MATCH("+",$A$15:$A25,1)-1,0)&gt;=$C$5,1),IF(OFFSET(E$15,MATCH("+",$A$15:$A25,1)-1,0)&lt;=$D$5,1))</formula>
    </cfRule>
    <cfRule type="expression" dxfId="27" priority="933">
      <formula>AND(IF($A17="+",1),IF(E17&gt;=$C$5,1),IF(E17&lt;=$D$5,1))</formula>
    </cfRule>
    <cfRule type="expression" dxfId="26" priority="934">
      <formula>AND(IF($A17="+",1),IF(E17&gt;=$C$4,1),IF(E17&lt;=$D$4,1))</formula>
    </cfRule>
    <cfRule type="expression" dxfId="25" priority="935">
      <formula>AND(IF($A17="+",1),IF(E17&gt;=$C$3,1),IF(E17&lt;=$D$3,1))</formula>
    </cfRule>
  </conditionalFormatting>
  <conditionalFormatting sqref="D24 C22 I28 G28 C28:E28 C33:E33 I33 G33">
    <cfRule type="expression" dxfId="24" priority="936">
      <formula>AND(IF(#REF!="0",1),IF(OFFSET(C$15,MATCH("+",$A$15:$A25,1)-1,0)&gt;=$C$5,1),IF(OFFSET(C$15,MATCH("+",$A$15:$A25,1)-1,0)&lt;=$D$5,1))</formula>
    </cfRule>
    <cfRule type="expression" dxfId="23" priority="937">
      <formula>AND(IF($A22="+",1),IF(C22&gt;=$C$5,1),IF(C22&lt;=$D$5,1))</formula>
    </cfRule>
    <cfRule type="expression" dxfId="22" priority="938">
      <formula>AND(IF($A22="+",1),IF(C22&gt;=$C$4,1),IF(C22&lt;=$D$4,1))</formula>
    </cfRule>
    <cfRule type="expression" dxfId="21" priority="939">
      <formula>AND(IF($A22="+",1),IF(C22&gt;=$C$3,1),IF(C22&lt;=$D$3,1))</formula>
    </cfRule>
  </conditionalFormatting>
  <conditionalFormatting sqref="E22">
    <cfRule type="expression" dxfId="20" priority="940">
      <formula>AND(IF(#REF!="0",1),IF(OFFSET(E$15,MATCH("+",$A$15:$A25,1)-1,0)&gt;=$C$5,1),IF(OFFSET(E$15,MATCH("+",$A$15:$A25,1)-1,0)&lt;=$D$5,1))</formula>
    </cfRule>
    <cfRule type="expression" dxfId="19" priority="941">
      <formula>AND(IF($A22="+",1),IF(E22&gt;=$C$5,1),IF(E22&lt;=$D$5,1))</formula>
    </cfRule>
    <cfRule type="expression" dxfId="18" priority="942">
      <formula>AND(IF($A22="+",1),IF(E22&gt;=$C$4,1),IF(E22&lt;=$D$4,1))</formula>
    </cfRule>
    <cfRule type="expression" dxfId="17" priority="943">
      <formula>AND(IF($A22="+",1),IF(E22&gt;=$C$3,1),IF(E22&lt;=$D$3,1))</formula>
    </cfRule>
  </conditionalFormatting>
  <conditionalFormatting sqref="E18">
    <cfRule type="expression" dxfId="16" priority="948">
      <formula>AND(IF(#REF!="0",1),IF(OFFSET(E$15,MATCH("+",$A$15:$A25,1)-1,0)&gt;=$C$5,1),IF(OFFSET(E$15,MATCH("+",$A$15:$A25,1)-1,0)&lt;=$D$5,1))</formula>
    </cfRule>
    <cfRule type="expression" dxfId="15" priority="949">
      <formula>AND(IF($A18="+",1),IF(E18&gt;=$C$5,1),IF(E18&lt;=$D$5,1))</formula>
    </cfRule>
    <cfRule type="expression" dxfId="14" priority="950">
      <formula>AND(IF($A18="+",1),IF(E18&gt;=$C$4,1),IF(E18&lt;=$D$4,1))</formula>
    </cfRule>
    <cfRule type="expression" dxfId="13" priority="951">
      <formula>AND(IF($A18="+",1),IF(E18&gt;=$C$3,1),IF(E18&lt;=$D$3,1))</formula>
    </cfRule>
  </conditionalFormatting>
  <conditionalFormatting sqref="C38:E39">
    <cfRule type="expression" dxfId="12" priority="1024">
      <formula>AND(IF(#REF!="0",1),IF(OFFSET(C$15,MATCH("+",$A$15:$A48,1)-1,0)&gt;=$C$5,1),IF(OFFSET(C$15,MATCH("+",$A$15:$A48,1)-1,0)&lt;=$D$5,1))</formula>
    </cfRule>
    <cfRule type="expression" dxfId="11" priority="1025">
      <formula>AND(IF($A38="+",1),IF(C38&gt;=$C$5,1),IF(C38&lt;=$D$5,1))</formula>
    </cfRule>
    <cfRule type="expression" dxfId="10" priority="1026">
      <formula>AND(IF($A38="+",1),IF(C38&gt;=$C$4,1),IF(C38&lt;=$D$4,1))</formula>
    </cfRule>
    <cfRule type="expression" dxfId="9" priority="1027">
      <formula>AND(IF($A38="+",1),IF(C38&gt;=$C$3,1),IF(C38&lt;=$D$3,1))</formula>
    </cfRule>
  </conditionalFormatting>
  <conditionalFormatting sqref="C37 E37">
    <cfRule type="expression" dxfId="8" priority="1028">
      <formula>AND(IF(#REF!="0",1),IF(OFFSET(C$15,MATCH("+",$A$15:$A48,1)-1,0)&gt;=$C$5,1),IF(OFFSET(C$15,MATCH("+",$A$15:$A48,1)-1,0)&lt;=$D$5,1))</formula>
    </cfRule>
    <cfRule type="expression" dxfId="7" priority="1029">
      <formula>AND(IF($A37="+",1),IF(C37&gt;=$C$5,1),IF(C37&lt;=$D$5,1))</formula>
    </cfRule>
    <cfRule type="expression" dxfId="6" priority="1030">
      <formula>AND(IF($A37="+",1),IF(C37&gt;=$C$4,1),IF(C37&lt;=$D$4,1))</formula>
    </cfRule>
    <cfRule type="expression" dxfId="5" priority="1031">
      <formula>AND(IF($A37="+",1),IF(C37&gt;=$C$3,1),IF(C37&lt;=$D$3,1))</formula>
    </cfRule>
  </conditionalFormatting>
  <conditionalFormatting sqref="B1:G1">
    <cfRule type="expression" dxfId="4" priority="1">
      <formula>(MAX(H1,J1)&lt;0.6)</formula>
    </cfRule>
  </conditionalFormatting>
  <conditionalFormatting sqref="C36:E36">
    <cfRule type="expression" dxfId="3" priority="1152">
      <formula>AND(IF(#REF!="0",1),IF(OFFSET(C$15,MATCH("+",$A$15:$A36,1)-1,0)&gt;=$C$5,1),IF(OFFSET(C$15,MATCH("+",$A$15:$A36,1)-1,0)&lt;=$D$5,1))</formula>
    </cfRule>
    <cfRule type="expression" dxfId="2" priority="1153">
      <formula>AND(IF($A36="+",1),IF(C36&gt;=$C$5,1),IF(C36&lt;=$D$5,1))</formula>
    </cfRule>
    <cfRule type="expression" dxfId="1" priority="1154">
      <formula>AND(IF($A36="+",1),IF(C36&gt;=$C$4,1),IF(C36&lt;=$D$4,1))</formula>
    </cfRule>
    <cfRule type="expression" dxfId="0" priority="1155">
      <formula>AND(IF($A36="+",1),IF(C36&gt;=$C$3,1),IF(C36&lt;=$D$3,1))</formula>
    </cfRule>
  </conditionalFormatting>
  <dataValidations count="5">
    <dataValidation allowBlank="1" showInputMessage="1" showErrorMessage="1" promptTitle="Levels" prompt="Novice - select [N] cell for details_x000a_Intermediate - select [I] cell for details_x000a_Advanced - select [A] cell for details" sqref="B8" xr:uid="{4421C6D8-C021-4E51-B5C9-4642FF1E7F94}"/>
    <dataValidation type="list" showDropDown="1" showInputMessage="1" showErrorMessage="1" errorTitle="Incorrect Level" error="Please, set N for Novice, I for Intermediate or A for Advanced level evaluation" sqref="G14 I14" xr:uid="{754A31BD-2862-422A-8574-7C4AA1DFF8AB}">
      <formula1>$C$14:$E$14</formula1>
    </dataValidation>
    <dataValidation allowBlank="1" showInputMessage="1" promptTitle="Novice Level" prompt="Knows framework basic concepts, able to wtite simple logic using that framework " sqref="C14" xr:uid="{6C883DFE-A0A7-452A-8156-1AF6654E0B08}"/>
    <dataValidation allowBlank="1" showInputMessage="1" promptTitle="Intermediate Level" prompt="Knows advanced framework concepts, uses framework's sophisticated features, able to wtite complex logic using that framework" sqref="D14" xr:uid="{CD475CE4-7252-471C-8035-AFB8C23E1ABD}"/>
    <dataValidation allowBlank="1" showInputMessage="1" promptTitle="Advanced Level" prompt="Knows internal framework mechanics, has clear understanding of its pros and cons, able to write framework-optimized code and resolve performance issues" sqref="E14" xr:uid="{920B59A7-9B3E-4F71-9AF4-4C22BA867668}"/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5" id="{AC7D1E33-D77A-4402-BA8A-A353A51A2ACB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 gte="0">
                <xm:f>5</xm:f>
              </x14:cfvo>
              <x14:cfIcon iconSet="3Symbols" iconId="1"/>
              <x14:cfIcon iconSet="NoIcons" iconId="0"/>
              <x14:cfIcon iconSet="3Symbols" iconId="1"/>
            </x14:iconSet>
          </x14:cfRule>
          <xm:sqref>I14 G14</xm:sqref>
        </x14:conditionalFormatting>
        <x14:conditionalFormatting xmlns:xm="http://schemas.microsoft.com/office/excel/2006/main">
          <x14:cfRule type="iconSet" priority="14" id="{C9C9D6A2-B564-48A3-B0BA-92703EDA0FBB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I9 G9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Andrei Ausianik</dc:creator>
  <cp:keywords/>
  <dc:description/>
  <cp:lastModifiedBy>Microsoft Office User</cp:lastModifiedBy>
  <cp:revision/>
  <dcterms:created xsi:type="dcterms:W3CDTF">2021-08-29T11:53:04Z</dcterms:created>
  <dcterms:modified xsi:type="dcterms:W3CDTF">2023-01-26T19:52:14Z</dcterms:modified>
  <cp:category/>
  <cp:contentStatus/>
</cp:coreProperties>
</file>