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man/Downloads/"/>
    </mc:Choice>
  </mc:AlternateContent>
  <xr:revisionPtr revIDLastSave="0" documentId="13_ncr:1_{A693A4F4-EEAB-B840-BCE9-0EBE34661FA6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React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6" i="1" l="1"/>
  <c r="I41" i="1"/>
  <c r="I37" i="1"/>
  <c r="I34" i="1"/>
  <c r="I30" i="1"/>
  <c r="I25" i="1"/>
  <c r="I18" i="1"/>
  <c r="I48" i="1"/>
  <c r="I49" i="1"/>
  <c r="I50" i="1"/>
  <c r="I51" i="1"/>
  <c r="I52" i="1"/>
  <c r="I53" i="1"/>
  <c r="I54" i="1"/>
  <c r="I56" i="1"/>
  <c r="I42" i="1"/>
  <c r="I43" i="1"/>
  <c r="I44" i="1"/>
  <c r="I45" i="1"/>
  <c r="I47" i="1"/>
  <c r="I38" i="1"/>
  <c r="I39" i="1"/>
  <c r="I40" i="1"/>
  <c r="I35" i="1"/>
  <c r="I36" i="1"/>
  <c r="I32" i="1"/>
  <c r="I55" i="1"/>
  <c r="I31" i="1"/>
  <c r="I26" i="1"/>
  <c r="I27" i="1"/>
  <c r="I28" i="1"/>
  <c r="I29" i="1"/>
  <c r="I19" i="1"/>
  <c r="I20" i="1"/>
  <c r="I21" i="1"/>
  <c r="I22" i="1"/>
  <c r="I23" i="1"/>
  <c r="I24" i="1"/>
  <c r="G34" i="1"/>
  <c r="G46" i="1"/>
  <c r="G48" i="1"/>
  <c r="G49" i="1"/>
  <c r="G50" i="1"/>
  <c r="G51" i="1"/>
  <c r="G52" i="1"/>
  <c r="G53" i="1"/>
  <c r="G54" i="1"/>
  <c r="G56" i="1"/>
  <c r="G30" i="1"/>
  <c r="G32" i="1"/>
  <c r="G55" i="1"/>
  <c r="G31" i="1"/>
  <c r="G35" i="1"/>
  <c r="G36" i="1"/>
  <c r="G37" i="1"/>
  <c r="G38" i="1"/>
  <c r="G39" i="1"/>
  <c r="G40" i="1"/>
  <c r="G41" i="1"/>
  <c r="G42" i="1"/>
  <c r="G43" i="1"/>
  <c r="G44" i="1"/>
  <c r="G45" i="1"/>
  <c r="G47" i="1"/>
  <c r="G25" i="1"/>
  <c r="G26" i="1"/>
  <c r="G27" i="1"/>
  <c r="G28" i="1"/>
  <c r="G29" i="1"/>
  <c r="G18" i="1"/>
  <c r="G19" i="1"/>
  <c r="G20" i="1"/>
  <c r="G21" i="1"/>
  <c r="G22" i="1"/>
  <c r="G23" i="1"/>
  <c r="G24" i="1"/>
  <c r="G12" i="1"/>
  <c r="G11" i="1"/>
  <c r="I12" i="1"/>
  <c r="I11" i="1"/>
  <c r="H1" i="1"/>
  <c r="J1" i="1"/>
  <c r="B1" i="1"/>
</calcChain>
</file>

<file path=xl/sharedStrings.xml><?xml version="1.0" encoding="utf-8"?>
<sst xmlns="http://schemas.openxmlformats.org/spreadsheetml/2006/main" count="72" uniqueCount="60">
  <si>
    <t>Marks</t>
  </si>
  <si>
    <t>0 — has no idea about the topic
1 — has some theoretical knowledge and can do simple tasks and understand code samples
2 — can do normal tasks without being constantly supervised
3 — has appropriate experience and can perform the majority of real-life tasks
4 — has deep understanding, knows underwater stones, can mentor and educate
Levels: N - Novice, I - Intermediate, A - Advanced</t>
  </si>
  <si>
    <t>Legend:</t>
  </si>
  <si>
    <t>Lesser important</t>
  </si>
  <si>
    <t>Min 
score</t>
  </si>
  <si>
    <t>Important</t>
  </si>
  <si>
    <t>Very important</t>
  </si>
  <si>
    <t>Result</t>
  </si>
  <si>
    <t>=SUMPRODUCT(J$9:J$508,$B$9:$B$508,OFFSET(INDIRECT(CONCATENATE("R8C",3+J$8),FALSE),1,0,500,1))/SUMPRODUCT($B$9:$B$508,OFFSET(INDIRECT(CONCATENATE("R8C",3+J$8),FALSE),1,0,500,1))'</t>
  </si>
  <si>
    <t>=SUMPRODUCT(K$9:K$508,$B$9:$B$508,OFFSET(INDIRECT(CONCATENATE("R8C",3+K$8),FALSE),1,0,500,1))/SUMPRODUCT($B$9:$B$508,OFFSET(INDIRECT(CONCATENATE("R8C",3+K$8),FALSE),1,0,500,1))'</t>
  </si>
  <si>
    <t>.</t>
  </si>
  <si>
    <t>React - evaluation matrix</t>
  </si>
  <si>
    <t>Level</t>
  </si>
  <si>
    <t>YYYY-Qx</t>
  </si>
  <si>
    <t>&lt;- assessment date</t>
  </si>
  <si>
    <t>N</t>
  </si>
  <si>
    <t>I</t>
  </si>
  <si>
    <t>A</t>
  </si>
  <si>
    <t>&lt;- assessment levels</t>
  </si>
  <si>
    <t>React Core</t>
  </si>
  <si>
    <t>+</t>
  </si>
  <si>
    <t>Basic</t>
  </si>
  <si>
    <t>React component definition (functional component)</t>
  </si>
  <si>
    <t>&lt;- skill check result</t>
  </si>
  <si>
    <t>JSX (embedding expressions, attributes, children)</t>
  </si>
  <si>
    <t>React component state (initial state, useState, lazy initialization)</t>
  </si>
  <si>
    <t>React component lifecycle (for functional, mounting, updating, unmounting, phases (render, pre-commit, commit), error boundaries)</t>
  </si>
  <si>
    <t>Hooks (use cases, rules, types: state hooks, context hooks, ref hooks, effect hooks, performance hooks, custom hooks)</t>
  </si>
  <si>
    <t>Components composition (props.children, composition vs inheritance, lifting state up, practical decomposition task)</t>
  </si>
  <si>
    <t>Intermediate</t>
  </si>
  <si>
    <t>React DOM (APIs: createRoot, hydrateRoot, createRef, createPortal, flushSync; components: Fragment, Suspense,  StrictMode, Profiler)</t>
  </si>
  <si>
    <t>Forms (controlled/uncontrolled components, SyntheticEvent, useFormStatus, useFormState, useOptimistic)</t>
  </si>
  <si>
    <t>Context (when to use, useContext, Context.Provider, Context.Consumer)</t>
  </si>
  <si>
    <t>Performance (memo, useMemo, useCallback, keys, profiler)</t>
  </si>
  <si>
    <t>Advanced</t>
  </si>
  <si>
    <t>React code reuse patterns (custom hooks, higher-order components, render props)</t>
  </si>
  <si>
    <t>Virtual DOM (concept, reconciliation algorithm, recursing on children, keys, Fiber Architecture)</t>
  </si>
  <si>
    <t>React Ecosystem</t>
  </si>
  <si>
    <t>Typechecking (TypeScript)</t>
  </si>
  <si>
    <t>Redux (three main principles, actions, reducers, store, unidirectional flow, data normalization, Redux vs Context)</t>
  </si>
  <si>
    <t>React Redux (presentational vs container components, Provider, connect, useSelector, useDispatch)</t>
  </si>
  <si>
    <t>Redux Async Flow (middleware, Redux Thunk)</t>
  </si>
  <si>
    <t>Routing (react-router, jsx/object configuration, history)</t>
  </si>
  <si>
    <t>Automated testing (types of rendering, React Testing Library or Enzyme, e2e testing libraries - playwright, cypress, puppeteer, etc.)</t>
  </si>
  <si>
    <t>Building (transpilers, bundlers, dev vs production build, code splitting, build optimization)</t>
  </si>
  <si>
    <t>Server side rendering (difference with CSR, cases of usage, React server components and server functions, server React DOM APIs)</t>
  </si>
  <si>
    <t>Static site generation (Next.js, Gatsby, Astro, Docusaurus, React Static)</t>
  </si>
  <si>
    <t>Bonus</t>
  </si>
  <si>
    <t>React without JSX (createElement API)</t>
  </si>
  <si>
    <t>React component definition (class component)</t>
  </si>
  <si>
    <t>React component lifecycle (for class component, lifecycle methods)</t>
  </si>
  <si>
    <t>Typechecking (PropTypes, vs TypeScript)</t>
  </si>
  <si>
    <t>Redux Toolkit (differences with pure Redux, createSlice, configureStore, Immer, RTK Query)</t>
  </si>
  <si>
    <t>MobX (main principles, observable and computed values, actions, reactions)</t>
  </si>
  <si>
    <t>Other state managers (zustand, jotai, xstate, etc.). Pros/cons comparing to Redux and/or each other.</t>
  </si>
  <si>
    <t>Flux architecture (unidirectional data flow, dispatcher, action, store)</t>
  </si>
  <si>
    <t>Security (XSS on React Props, dangerouslySetInnerHTML)</t>
  </si>
  <si>
    <t>Animation (react-transition-group, manual animation, transition, translate)</t>
  </si>
  <si>
    <t>Total</t>
  </si>
  <si>
    <t>Version 3.2.0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</si>
</sst>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000000"/>
      <name val="Calibri"/>
      <family val="2"/>
      <charset val="204"/>
    </font>
    <font>
      <i/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color rgb="FFFA7D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u/>
      <sz val="12"/>
      <name val="Calibri"/>
      <family val="2"/>
      <charset val="204"/>
    </font>
    <font>
      <b/>
      <sz val="8"/>
      <color theme="0" tint="-4.9989318521683403E-2"/>
      <name val="Calibri"/>
      <family val="2"/>
      <scheme val="minor"/>
    </font>
    <font>
      <b/>
      <sz val="8"/>
      <color theme="0" tint="-4.9989318521683403E-2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sz val="11"/>
      <color theme="0" tint="-0.14999847407452621"/>
      <name val="Calibri"/>
      <family val="2"/>
    </font>
    <font>
      <sz val="11"/>
      <color theme="0" tint="-4.9989318521683403E-2"/>
      <name val="Calibri"/>
      <family val="2"/>
    </font>
    <font>
      <sz val="11"/>
      <color rgb="FF000000"/>
      <name val="Calibri"/>
      <scheme val="minor"/>
    </font>
    <font>
      <sz val="11"/>
      <name val="Calibri"/>
      <scheme val="minor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rgb="FFB7B7B7"/>
        <bgColor rgb="FFB7B7B7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CCC1DA"/>
        <bgColor rgb="FFCCC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CCCC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n">
        <color indexed="64"/>
      </right>
      <top/>
      <bottom/>
      <diagonal/>
    </border>
    <border>
      <left style="dotted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thin">
        <color indexed="64"/>
      </right>
      <top/>
      <bottom style="hair">
        <color auto="1"/>
      </bottom>
      <diagonal/>
    </border>
    <border>
      <left style="dotted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dotted">
        <color auto="1"/>
      </right>
      <top style="hair">
        <color auto="1"/>
      </top>
      <bottom style="thin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rgb="FF000000"/>
      </top>
      <bottom style="hair">
        <color rgb="FF000000"/>
      </bottom>
      <diagonal/>
    </border>
    <border>
      <left/>
      <right style="dotted">
        <color auto="1"/>
      </right>
      <top style="hair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</borders>
  <cellStyleXfs count="8">
    <xf numFmtId="0" fontId="0" fillId="0" borderId="0"/>
    <xf numFmtId="0" fontId="4" fillId="4" borderId="2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9" fontId="12" fillId="0" borderId="0" applyFont="0" applyFill="0" applyBorder="0" applyAlignment="0" applyProtection="0"/>
  </cellStyleXfs>
  <cellXfs count="138">
    <xf numFmtId="0" fontId="0" fillId="0" borderId="0" xfId="0"/>
    <xf numFmtId="0" fontId="0" fillId="0" borderId="1" xfId="0" applyBorder="1"/>
    <xf numFmtId="9" fontId="5" fillId="9" borderId="12" xfId="6" applyNumberFormat="1" applyBorder="1" applyAlignment="1">
      <alignment horizontal="center"/>
    </xf>
    <xf numFmtId="0" fontId="11" fillId="0" borderId="0" xfId="0" applyFont="1"/>
    <xf numFmtId="0" fontId="0" fillId="13" borderId="1" xfId="0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0" fillId="16" borderId="1" xfId="0" applyFill="1" applyBorder="1"/>
    <xf numFmtId="0" fontId="7" fillId="16" borderId="8" xfId="0" applyFont="1" applyFill="1" applyBorder="1" applyAlignment="1">
      <alignment horizontal="center"/>
    </xf>
    <xf numFmtId="0" fontId="7" fillId="16" borderId="4" xfId="0" applyFont="1" applyFill="1" applyBorder="1" applyAlignment="1">
      <alignment horizontal="center"/>
    </xf>
    <xf numFmtId="164" fontId="1" fillId="17" borderId="5" xfId="2" applyNumberFormat="1" applyFill="1" applyBorder="1" applyAlignment="1">
      <alignment horizontal="center" vertical="center"/>
    </xf>
    <xf numFmtId="164" fontId="1" fillId="17" borderId="6" xfId="2" applyNumberFormat="1" applyFill="1" applyBorder="1" applyAlignment="1">
      <alignment horizontal="center" vertical="center"/>
    </xf>
    <xf numFmtId="0" fontId="1" fillId="17" borderId="6" xfId="2" applyFill="1" applyBorder="1"/>
    <xf numFmtId="0" fontId="1" fillId="17" borderId="7" xfId="2" applyFill="1" applyBorder="1"/>
    <xf numFmtId="164" fontId="1" fillId="18" borderId="3" xfId="5" applyNumberFormat="1" applyFill="1" applyBorder="1" applyAlignment="1">
      <alignment horizontal="center" vertical="center"/>
    </xf>
    <xf numFmtId="164" fontId="1" fillId="18" borderId="1" xfId="5" applyNumberFormat="1" applyFill="1" applyBorder="1" applyAlignment="1">
      <alignment horizontal="center" vertical="center"/>
    </xf>
    <xf numFmtId="0" fontId="1" fillId="18" borderId="1" xfId="5" applyFill="1" applyBorder="1"/>
    <xf numFmtId="0" fontId="11" fillId="16" borderId="1" xfId="0" applyFont="1" applyFill="1" applyBorder="1"/>
    <xf numFmtId="164" fontId="1" fillId="19" borderId="9" xfId="3" applyNumberFormat="1" applyFill="1" applyBorder="1" applyAlignment="1">
      <alignment horizontal="center" vertical="center"/>
    </xf>
    <xf numFmtId="164" fontId="1" fillId="19" borderId="10" xfId="3" applyNumberFormat="1" applyFill="1" applyBorder="1" applyAlignment="1">
      <alignment horizontal="center" vertical="center"/>
    </xf>
    <xf numFmtId="0" fontId="1" fillId="19" borderId="10" xfId="3" applyFill="1" applyBorder="1"/>
    <xf numFmtId="0" fontId="2" fillId="16" borderId="1" xfId="0" applyFont="1" applyFill="1" applyBorder="1" applyAlignment="1">
      <alignment horizontal="center"/>
    </xf>
    <xf numFmtId="0" fontId="15" fillId="10" borderId="5" xfId="0" quotePrefix="1" applyFont="1" applyFill="1" applyBorder="1" applyAlignment="1">
      <alignment horizontal="center"/>
    </xf>
    <xf numFmtId="0" fontId="15" fillId="10" borderId="6" xfId="0" applyFont="1" applyFill="1" applyBorder="1"/>
    <xf numFmtId="0" fontId="15" fillId="10" borderId="7" xfId="0" applyFont="1" applyFill="1" applyBorder="1"/>
    <xf numFmtId="0" fontId="15" fillId="10" borderId="5" xfId="0" applyFont="1" applyFill="1" applyBorder="1"/>
    <xf numFmtId="0" fontId="6" fillId="10" borderId="3" xfId="0" applyFont="1" applyFill="1" applyBorder="1" applyAlignment="1">
      <alignment vertical="center"/>
    </xf>
    <xf numFmtId="0" fontId="6" fillId="10" borderId="16" xfId="0" applyFont="1" applyFill="1" applyBorder="1" applyAlignment="1">
      <alignment vertical="center"/>
    </xf>
    <xf numFmtId="0" fontId="6" fillId="10" borderId="17" xfId="0" applyFont="1" applyFill="1" applyBorder="1" applyAlignment="1">
      <alignment horizontal="center"/>
    </xf>
    <xf numFmtId="0" fontId="3" fillId="3" borderId="18" xfId="0" applyFont="1" applyFill="1" applyBorder="1"/>
    <xf numFmtId="0" fontId="3" fillId="3" borderId="19" xfId="0" applyFont="1" applyFill="1" applyBorder="1"/>
    <xf numFmtId="0" fontId="3" fillId="3" borderId="1" xfId="0" applyFont="1" applyFill="1" applyBorder="1"/>
    <xf numFmtId="0" fontId="7" fillId="16" borderId="3" xfId="0" quotePrefix="1" applyFont="1" applyFill="1" applyBorder="1" applyAlignment="1">
      <alignment horizontal="center"/>
    </xf>
    <xf numFmtId="0" fontId="9" fillId="0" borderId="21" xfId="0" applyFont="1" applyBorder="1" applyAlignment="1">
      <alignment horizontal="left" vertical="center" indent="1"/>
    </xf>
    <xf numFmtId="164" fontId="7" fillId="13" borderId="22" xfId="7" applyNumberFormat="1" applyFont="1" applyFill="1" applyBorder="1" applyAlignment="1">
      <alignment horizontal="center"/>
    </xf>
    <xf numFmtId="164" fontId="7" fillId="13" borderId="22" xfId="0" applyNumberFormat="1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7" fillId="16" borderId="27" xfId="0" applyFont="1" applyFill="1" applyBorder="1" applyAlignment="1">
      <alignment horizontal="center"/>
    </xf>
    <xf numFmtId="0" fontId="7" fillId="16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6" fillId="16" borderId="6" xfId="1" quotePrefix="1" applyFont="1" applyFill="1" applyBorder="1" applyAlignment="1"/>
    <xf numFmtId="0" fontId="17" fillId="16" borderId="8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 wrapText="1"/>
    </xf>
    <xf numFmtId="0" fontId="18" fillId="16" borderId="1" xfId="0" applyFont="1" applyFill="1" applyBorder="1" applyAlignment="1">
      <alignment vertical="top" wrapText="1"/>
    </xf>
    <xf numFmtId="0" fontId="6" fillId="10" borderId="28" xfId="0" applyFont="1" applyFill="1" applyBorder="1" applyAlignment="1">
      <alignment horizontal="center"/>
    </xf>
    <xf numFmtId="0" fontId="3" fillId="3" borderId="29" xfId="0" applyFont="1" applyFill="1" applyBorder="1"/>
    <xf numFmtId="164" fontId="7" fillId="13" borderId="30" xfId="0" applyNumberFormat="1" applyFont="1" applyFill="1" applyBorder="1" applyAlignment="1">
      <alignment horizontal="center"/>
    </xf>
    <xf numFmtId="0" fontId="7" fillId="16" borderId="8" xfId="0" quotePrefix="1" applyFont="1" applyFill="1" applyBorder="1" applyAlignment="1">
      <alignment horizontal="center"/>
    </xf>
    <xf numFmtId="0" fontId="18" fillId="16" borderId="1" xfId="0" applyFont="1" applyFill="1" applyBorder="1" applyAlignment="1">
      <alignment vertical="top"/>
    </xf>
    <xf numFmtId="0" fontId="10" fillId="16" borderId="1" xfId="0" applyFont="1" applyFill="1" applyBorder="1" applyAlignment="1">
      <alignment vertical="top" wrapText="1"/>
    </xf>
    <xf numFmtId="0" fontId="19" fillId="16" borderId="1" xfId="0" applyFont="1" applyFill="1" applyBorder="1" applyAlignment="1">
      <alignment vertical="top"/>
    </xf>
    <xf numFmtId="0" fontId="11" fillId="0" borderId="4" xfId="0" applyFont="1" applyBorder="1"/>
    <xf numFmtId="0" fontId="6" fillId="16" borderId="1" xfId="0" applyFont="1" applyFill="1" applyBorder="1"/>
    <xf numFmtId="0" fontId="20" fillId="16" borderId="1" xfId="0" applyFont="1" applyFill="1" applyBorder="1"/>
    <xf numFmtId="0" fontId="18" fillId="2" borderId="4" xfId="0" applyFont="1" applyFill="1" applyBorder="1" applyAlignment="1">
      <alignment vertical="top" wrapText="1"/>
    </xf>
    <xf numFmtId="0" fontId="7" fillId="16" borderId="35" xfId="0" applyFont="1" applyFill="1" applyBorder="1" applyAlignment="1">
      <alignment horizontal="center"/>
    </xf>
    <xf numFmtId="0" fontId="7" fillId="11" borderId="34" xfId="0" applyFont="1" applyFill="1" applyBorder="1" applyAlignment="1">
      <alignment horizontal="center"/>
    </xf>
    <xf numFmtId="0" fontId="8" fillId="20" borderId="25" xfId="0" applyFont="1" applyFill="1" applyBorder="1" applyAlignment="1">
      <alignment horizontal="center" vertical="center"/>
    </xf>
    <xf numFmtId="0" fontId="8" fillId="20" borderId="32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164" fontId="7" fillId="13" borderId="43" xfId="0" applyNumberFormat="1" applyFont="1" applyFill="1" applyBorder="1" applyAlignment="1">
      <alignment horizontal="center"/>
    </xf>
    <xf numFmtId="164" fontId="7" fillId="13" borderId="21" xfId="0" applyNumberFormat="1" applyFont="1" applyFill="1" applyBorder="1" applyAlignment="1">
      <alignment horizontal="center"/>
    </xf>
    <xf numFmtId="9" fontId="1" fillId="7" borderId="26" xfId="4" applyNumberFormat="1" applyBorder="1" applyAlignment="1">
      <alignment horizontal="center"/>
    </xf>
    <xf numFmtId="9" fontId="1" fillId="7" borderId="33" xfId="4" applyNumberFormat="1" applyBorder="1" applyAlignment="1">
      <alignment horizontal="center"/>
    </xf>
    <xf numFmtId="0" fontId="0" fillId="0" borderId="29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0" fillId="0" borderId="0" xfId="0" applyProtection="1">
      <protection locked="0"/>
    </xf>
    <xf numFmtId="0" fontId="0" fillId="16" borderId="1" xfId="0" applyFill="1" applyBorder="1" applyAlignment="1">
      <alignment horizontal="center"/>
    </xf>
    <xf numFmtId="0" fontId="0" fillId="16" borderId="0" xfId="0" applyFill="1"/>
    <xf numFmtId="0" fontId="0" fillId="16" borderId="8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20" fillId="16" borderId="1" xfId="0" applyFont="1" applyFill="1" applyBorder="1" applyAlignment="1">
      <alignment wrapText="1"/>
    </xf>
    <xf numFmtId="0" fontId="22" fillId="16" borderId="1" xfId="0" applyFont="1" applyFill="1" applyBorder="1" applyAlignment="1">
      <alignment vertical="top"/>
    </xf>
    <xf numFmtId="0" fontId="21" fillId="2" borderId="16" xfId="0" applyFont="1" applyFill="1" applyBorder="1" applyAlignment="1">
      <alignment horizontal="left" vertical="center"/>
    </xf>
    <xf numFmtId="0" fontId="8" fillId="20" borderId="23" xfId="0" applyFont="1" applyFill="1" applyBorder="1" applyAlignment="1">
      <alignment horizontal="center" vertical="center"/>
    </xf>
    <xf numFmtId="0" fontId="8" fillId="20" borderId="31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8" fillId="12" borderId="25" xfId="0" applyFont="1" applyFill="1" applyBorder="1" applyAlignment="1">
      <alignment horizontal="center" vertical="center"/>
    </xf>
    <xf numFmtId="0" fontId="8" fillId="12" borderId="32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164" fontId="7" fillId="13" borderId="22" xfId="7" applyNumberFormat="1" applyFont="1" applyFill="1" applyBorder="1" applyAlignment="1">
      <alignment horizontal="center" vertical="center"/>
    </xf>
    <xf numFmtId="164" fontId="7" fillId="13" borderId="22" xfId="0" applyNumberFormat="1" applyFont="1" applyFill="1" applyBorder="1" applyAlignment="1">
      <alignment horizontal="center" vertical="center"/>
    </xf>
    <xf numFmtId="164" fontId="7" fillId="13" borderId="30" xfId="0" applyNumberFormat="1" applyFont="1" applyFill="1" applyBorder="1" applyAlignment="1">
      <alignment horizontal="center" vertical="center"/>
    </xf>
    <xf numFmtId="0" fontId="7" fillId="16" borderId="8" xfId="0" quotePrefix="1" applyFont="1" applyFill="1" applyBorder="1" applyAlignment="1">
      <alignment horizontal="center" vertical="center"/>
    </xf>
    <xf numFmtId="164" fontId="7" fillId="13" borderId="21" xfId="0" applyNumberFormat="1" applyFont="1" applyFill="1" applyBorder="1" applyAlignment="1">
      <alignment horizontal="center" vertical="center"/>
    </xf>
    <xf numFmtId="9" fontId="1" fillId="7" borderId="33" xfId="4" applyNumberFormat="1" applyBorder="1" applyAlignment="1" applyProtection="1">
      <alignment horizontal="center" vertical="center"/>
      <protection locked="0"/>
    </xf>
    <xf numFmtId="164" fontId="7" fillId="13" borderId="43" xfId="0" applyNumberFormat="1" applyFont="1" applyFill="1" applyBorder="1" applyAlignment="1">
      <alignment horizontal="center" vertical="center"/>
    </xf>
    <xf numFmtId="9" fontId="1" fillId="7" borderId="26" xfId="4" applyNumberFormat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vertical="center"/>
      <protection locked="0"/>
    </xf>
    <xf numFmtId="0" fontId="8" fillId="0" borderId="24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164" fontId="7" fillId="13" borderId="46" xfId="0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vertical="center"/>
      <protection locked="0"/>
    </xf>
    <xf numFmtId="0" fontId="3" fillId="3" borderId="21" xfId="0" applyFont="1" applyFill="1" applyBorder="1" applyAlignment="1">
      <alignment vertical="center"/>
    </xf>
    <xf numFmtId="2" fontId="3" fillId="3" borderId="26" xfId="7" applyNumberFormat="1" applyFont="1" applyFill="1" applyBorder="1" applyAlignment="1">
      <alignment vertical="center"/>
    </xf>
    <xf numFmtId="2" fontId="3" fillId="3" borderId="33" xfId="7" applyNumberFormat="1" applyFont="1" applyFill="1" applyBorder="1" applyAlignment="1">
      <alignment vertical="center"/>
    </xf>
    <xf numFmtId="9" fontId="7" fillId="14" borderId="21" xfId="0" applyNumberFormat="1" applyFont="1" applyFill="1" applyBorder="1" applyAlignment="1">
      <alignment horizontal="center" vertical="center"/>
    </xf>
    <xf numFmtId="9" fontId="7" fillId="14" borderId="33" xfId="0" applyNumberFormat="1" applyFont="1" applyFill="1" applyBorder="1" applyAlignment="1">
      <alignment horizontal="center" vertical="center"/>
    </xf>
    <xf numFmtId="9" fontId="7" fillId="14" borderId="43" xfId="0" applyNumberFormat="1" applyFont="1" applyFill="1" applyBorder="1" applyAlignment="1">
      <alignment horizontal="center" vertical="center"/>
    </xf>
    <xf numFmtId="9" fontId="7" fillId="14" borderId="1" xfId="0" applyNumberFormat="1" applyFont="1" applyFill="1" applyBorder="1" applyAlignment="1">
      <alignment horizontal="center" vertical="center"/>
    </xf>
    <xf numFmtId="0" fontId="3" fillId="3" borderId="16" xfId="0" applyFont="1" applyFill="1" applyBorder="1"/>
    <xf numFmtId="164" fontId="23" fillId="16" borderId="1" xfId="0" applyNumberFormat="1" applyFont="1" applyFill="1" applyBorder="1" applyAlignment="1">
      <alignment horizontal="center" vertical="top" wrapText="1"/>
    </xf>
    <xf numFmtId="9" fontId="1" fillId="7" borderId="33" xfId="4" applyNumberFormat="1" applyBorder="1" applyAlignment="1" applyProtection="1">
      <alignment horizontal="center" vertical="center" wrapText="1"/>
      <protection locked="0"/>
    </xf>
    <xf numFmtId="9" fontId="1" fillId="7" borderId="26" xfId="4" applyNumberFormat="1" applyBorder="1" applyAlignment="1" applyProtection="1">
      <alignment horizontal="center" vertical="center" wrapText="1"/>
      <protection locked="0"/>
    </xf>
    <xf numFmtId="164" fontId="18" fillId="0" borderId="48" xfId="0" applyNumberFormat="1" applyFont="1" applyBorder="1" applyAlignment="1">
      <alignment horizontal="center" vertical="center"/>
    </xf>
    <xf numFmtId="164" fontId="18" fillId="0" borderId="18" xfId="0" applyNumberFormat="1" applyFont="1" applyBorder="1" applyAlignment="1">
      <alignment horizontal="center" vertical="center"/>
    </xf>
    <xf numFmtId="164" fontId="18" fillId="0" borderId="16" xfId="0" applyNumberFormat="1" applyFont="1" applyBorder="1" applyAlignment="1">
      <alignment horizontal="center" vertical="center"/>
    </xf>
    <xf numFmtId="164" fontId="18" fillId="13" borderId="24" xfId="0" applyNumberFormat="1" applyFont="1" applyFill="1" applyBorder="1" applyAlignment="1">
      <alignment horizontal="center" vertical="center"/>
    </xf>
    <xf numFmtId="164" fontId="18" fillId="13" borderId="44" xfId="0" applyNumberFormat="1" applyFont="1" applyFill="1" applyBorder="1" applyAlignment="1">
      <alignment horizontal="center" vertical="center"/>
    </xf>
    <xf numFmtId="164" fontId="18" fillId="13" borderId="45" xfId="0" applyNumberFormat="1" applyFont="1" applyFill="1" applyBorder="1" applyAlignment="1">
      <alignment horizontal="center" vertical="center"/>
    </xf>
    <xf numFmtId="164" fontId="18" fillId="0" borderId="24" xfId="0" applyNumberFormat="1" applyFont="1" applyBorder="1" applyAlignment="1">
      <alignment horizontal="center" vertical="center"/>
    </xf>
    <xf numFmtId="0" fontId="25" fillId="2" borderId="16" xfId="0" applyFont="1" applyFill="1" applyBorder="1" applyAlignment="1">
      <alignment horizontal="left" vertical="center"/>
    </xf>
    <xf numFmtId="0" fontId="26" fillId="2" borderId="24" xfId="0" applyFont="1" applyFill="1" applyBorder="1" applyAlignment="1">
      <alignment horizontal="left" vertical="center"/>
    </xf>
    <xf numFmtId="0" fontId="26" fillId="2" borderId="24" xfId="0" applyFont="1" applyFill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/>
    </xf>
    <xf numFmtId="0" fontId="26" fillId="20" borderId="16" xfId="0" applyFont="1" applyFill="1" applyBorder="1" applyAlignment="1">
      <alignment horizontal="left" vertical="center"/>
    </xf>
    <xf numFmtId="0" fontId="26" fillId="0" borderId="24" xfId="0" applyFont="1" applyBorder="1" applyAlignment="1">
      <alignment horizontal="left" vertical="center" wrapText="1"/>
    </xf>
    <xf numFmtId="0" fontId="26" fillId="2" borderId="49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top" wrapText="1"/>
    </xf>
    <xf numFmtId="0" fontId="13" fillId="4" borderId="2" xfId="1" applyFont="1" applyAlignment="1">
      <alignment horizontal="center"/>
    </xf>
    <xf numFmtId="0" fontId="6" fillId="15" borderId="47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9" fontId="4" fillId="4" borderId="37" xfId="7" applyFont="1" applyFill="1" applyBorder="1" applyAlignment="1">
      <alignment horizontal="center" vertical="center"/>
    </xf>
    <xf numFmtId="9" fontId="4" fillId="4" borderId="38" xfId="7" applyFont="1" applyFill="1" applyBorder="1" applyAlignment="1">
      <alignment horizontal="center" vertical="center"/>
    </xf>
    <xf numFmtId="0" fontId="14" fillId="4" borderId="36" xfId="1" applyFont="1" applyBorder="1" applyAlignment="1">
      <alignment horizontal="center"/>
    </xf>
    <xf numFmtId="0" fontId="14" fillId="4" borderId="13" xfId="1" applyFont="1" applyBorder="1" applyAlignment="1">
      <alignment horizontal="center"/>
    </xf>
    <xf numFmtId="0" fontId="14" fillId="4" borderId="39" xfId="1" applyFont="1" applyBorder="1" applyAlignment="1">
      <alignment horizontal="center"/>
    </xf>
    <xf numFmtId="0" fontId="14" fillId="4" borderId="40" xfId="1" applyFont="1" applyBorder="1" applyAlignment="1">
      <alignment horizontal="center"/>
    </xf>
    <xf numFmtId="9" fontId="4" fillId="4" borderId="41" xfId="7" applyFont="1" applyFill="1" applyBorder="1" applyAlignment="1">
      <alignment horizontal="center" vertical="center"/>
    </xf>
    <xf numFmtId="9" fontId="4" fillId="4" borderId="42" xfId="7" applyFont="1" applyFill="1" applyBorder="1" applyAlignment="1">
      <alignment horizontal="center" vertical="center"/>
    </xf>
  </cellXfs>
  <cellStyles count="8">
    <cellStyle name="40% - Accent1" xfId="2" builtinId="31"/>
    <cellStyle name="40% - Accent2" xfId="3" builtinId="35"/>
    <cellStyle name="40% - Accent3" xfId="4" builtinId="39"/>
    <cellStyle name="40% - Accent4" xfId="5" builtinId="43"/>
    <cellStyle name="Accent6" xfId="6" builtinId="49"/>
    <cellStyle name="Calculation" xfId="1" builtinId="22"/>
    <cellStyle name="Normal" xfId="0" builtinId="0"/>
    <cellStyle name="Per cent" xfId="7" builtinId="5"/>
  </cellStyles>
  <dxfs count="71"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color theme="0" tint="-4.9989318521683403E-2"/>
      </font>
      <fill>
        <patternFill>
          <bgColor rgb="FFC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O422"/>
  <sheetViews>
    <sheetView tabSelected="1" topLeftCell="A3" zoomScaleNormal="100" workbookViewId="0">
      <selection activeCell="J23" sqref="J23"/>
    </sheetView>
  </sheetViews>
  <sheetFormatPr baseColWidth="10" defaultColWidth="14.5" defaultRowHeight="15.75" customHeight="1" outlineLevelRow="1" outlineLevelCol="1" x14ac:dyDescent="0.15"/>
  <cols>
    <col min="1" max="1" width="2.33203125" style="4" customWidth="1"/>
    <col min="2" max="2" width="90.33203125" style="1" customWidth="1"/>
    <col min="3" max="5" width="7.33203125" customWidth="1"/>
    <col min="6" max="6" width="2.1640625" style="4" customWidth="1"/>
    <col min="7" max="7" width="8.33203125" style="1" hidden="1" customWidth="1" outlineLevel="1"/>
    <col min="8" max="8" width="10.5" style="1" customWidth="1" collapsed="1"/>
    <col min="9" max="9" width="8.33203125" style="1" hidden="1" customWidth="1" outlineLevel="1"/>
    <col min="10" max="10" width="10.5" customWidth="1" collapsed="1"/>
    <col min="11" max="11" width="2.33203125" style="4" customWidth="1"/>
    <col min="12" max="12" width="27.33203125" customWidth="1"/>
    <col min="13" max="13" width="2.33203125" style="4" customWidth="1"/>
  </cols>
  <sheetData>
    <row r="1" spans="1:15" ht="15.75" customHeight="1" x14ac:dyDescent="0.15">
      <c r="A1" s="71"/>
      <c r="B1" s="125" t="str">
        <f>"Matrix is not valid - only " &amp;TEXT(MAX(H1,J1), "0%") &amp; " of topics are covered, should be 60% or more"</f>
        <v>Matrix is not valid - only 0% of topics are covered, should be 60% or more</v>
      </c>
      <c r="C1" s="125"/>
      <c r="D1" s="125"/>
      <c r="E1" s="125"/>
      <c r="F1" s="125"/>
      <c r="G1" s="125"/>
      <c r="H1" s="108">
        <f>IFERROR(SUMIFS(G18:G56,H18:H56,"&lt;&gt;", G18:G56, "&gt;=1", $A18:$A56,"&lt;&gt;+")/SUMIFS(G18:G56,G18:G56, "&gt;=1",$A18:$A56,"&lt;&gt;+"),0)</f>
        <v>0</v>
      </c>
      <c r="I1" s="7"/>
      <c r="J1" s="108">
        <f>IFERROR(SUMIFS(I18:I56,J18:J56,"&lt;&gt;", I18:I56, "&gt;=1", $A18:$A56,"&lt;&gt;+")/SUMIFS(I18:I56,I18:I56, "&gt;=1",$A18:$A56,"&lt;&gt;+"),0)</f>
        <v>0</v>
      </c>
      <c r="K1" s="73"/>
      <c r="M1" s="74"/>
    </row>
    <row r="2" spans="1:15" ht="15.75" customHeight="1" x14ac:dyDescent="0.15">
      <c r="A2" s="71"/>
      <c r="B2" s="52" t="s">
        <v>0</v>
      </c>
      <c r="C2" s="72"/>
      <c r="D2" s="72"/>
      <c r="E2" s="72"/>
      <c r="F2" s="71"/>
      <c r="G2" s="7"/>
      <c r="H2" s="7"/>
      <c r="I2" s="7"/>
      <c r="J2" s="72"/>
      <c r="K2" s="73"/>
      <c r="M2" s="74"/>
    </row>
    <row r="3" spans="1:15" ht="103.25" customHeight="1" outlineLevel="1" x14ac:dyDescent="0.2">
      <c r="A3" s="71"/>
      <c r="B3" s="75" t="s">
        <v>1</v>
      </c>
      <c r="C3" s="72"/>
      <c r="D3" s="72"/>
      <c r="E3" s="72"/>
      <c r="F3" s="71"/>
      <c r="G3" s="7"/>
      <c r="H3" s="7"/>
      <c r="I3" s="7"/>
      <c r="J3" s="72"/>
      <c r="K3" s="73"/>
      <c r="M3" s="74"/>
    </row>
    <row r="4" spans="1:15" ht="16" x14ac:dyDescent="0.2">
      <c r="A4" s="5"/>
      <c r="B4" s="76"/>
      <c r="C4" s="53" t="s">
        <v>2</v>
      </c>
      <c r="D4" s="46"/>
      <c r="E4" s="46"/>
      <c r="F4" s="46"/>
      <c r="G4" s="46"/>
      <c r="H4" s="46"/>
      <c r="I4" s="46"/>
      <c r="J4" s="46"/>
      <c r="K4" s="46"/>
      <c r="L4" s="57"/>
      <c r="M4" s="8"/>
    </row>
    <row r="5" spans="1:15" ht="15" x14ac:dyDescent="0.2">
      <c r="A5" s="5"/>
      <c r="B5" s="51"/>
      <c r="C5" s="10">
        <v>0.09</v>
      </c>
      <c r="D5" s="11">
        <v>0.9</v>
      </c>
      <c r="E5" s="12" t="s">
        <v>3</v>
      </c>
      <c r="F5" s="13"/>
      <c r="G5" s="12"/>
      <c r="H5" s="12"/>
      <c r="I5" s="12"/>
      <c r="J5" s="59" t="s">
        <v>4</v>
      </c>
      <c r="K5" s="46"/>
      <c r="L5" s="57"/>
      <c r="M5" s="8"/>
    </row>
    <row r="6" spans="1:15" ht="15" x14ac:dyDescent="0.2">
      <c r="A6" s="5"/>
      <c r="B6" s="51"/>
      <c r="C6" s="14">
        <v>0.91</v>
      </c>
      <c r="D6" s="15">
        <v>1.2</v>
      </c>
      <c r="E6" s="16" t="s">
        <v>5</v>
      </c>
      <c r="F6" s="16"/>
      <c r="G6" s="16"/>
      <c r="H6" s="16"/>
      <c r="I6" s="16"/>
      <c r="J6" s="45"/>
      <c r="K6" s="46"/>
      <c r="L6" s="57"/>
      <c r="M6" s="8"/>
    </row>
    <row r="7" spans="1:15" ht="15" x14ac:dyDescent="0.2">
      <c r="A7" s="5"/>
      <c r="B7" s="51"/>
      <c r="C7" s="18">
        <v>1.21</v>
      </c>
      <c r="D7" s="19">
        <v>2</v>
      </c>
      <c r="E7" s="20" t="s">
        <v>6</v>
      </c>
      <c r="F7" s="20"/>
      <c r="G7" s="20"/>
      <c r="H7" s="20"/>
      <c r="I7" s="20"/>
      <c r="J7" s="2">
        <v>0.75</v>
      </c>
      <c r="K7" s="46"/>
      <c r="L7" s="57"/>
      <c r="M7" s="8"/>
    </row>
    <row r="8" spans="1:15" ht="15" x14ac:dyDescent="0.2">
      <c r="A8" s="5"/>
      <c r="B8" s="51"/>
      <c r="C8" s="51"/>
      <c r="D8" s="46"/>
      <c r="E8" s="46"/>
      <c r="F8" s="46"/>
      <c r="G8" s="46"/>
      <c r="H8" s="46"/>
      <c r="I8" s="46"/>
      <c r="J8" s="46"/>
      <c r="K8" s="46"/>
      <c r="L8" s="57"/>
      <c r="M8" s="8"/>
    </row>
    <row r="9" spans="1:15" ht="15" x14ac:dyDescent="0.2">
      <c r="A9" s="5"/>
      <c r="B9" s="51"/>
      <c r="C9" s="51"/>
      <c r="D9" s="46"/>
      <c r="E9" s="46"/>
      <c r="F9" s="46"/>
      <c r="G9" s="46"/>
      <c r="H9" s="46"/>
      <c r="I9" s="46"/>
      <c r="J9" s="46"/>
      <c r="K9" s="46"/>
      <c r="L9" s="57"/>
      <c r="M9" s="8"/>
    </row>
    <row r="10" spans="1:15" ht="16" x14ac:dyDescent="0.2">
      <c r="A10" s="5"/>
      <c r="B10" s="56"/>
      <c r="C10" s="7"/>
      <c r="D10" s="7"/>
      <c r="E10" s="7"/>
      <c r="F10" s="8"/>
      <c r="G10" s="126" t="s">
        <v>7</v>
      </c>
      <c r="H10" s="126"/>
      <c r="I10" s="126"/>
      <c r="J10" s="126"/>
      <c r="K10" s="9"/>
      <c r="L10" s="54"/>
      <c r="M10" s="9"/>
    </row>
    <row r="11" spans="1:15" ht="15" x14ac:dyDescent="0.2">
      <c r="A11" s="5"/>
      <c r="B11" s="55"/>
      <c r="C11" s="7"/>
      <c r="D11" s="7"/>
      <c r="E11" s="7"/>
      <c r="F11" s="8"/>
      <c r="G11" s="132">
        <f>IF(G12&gt;=$J$7,1,0)</f>
        <v>0</v>
      </c>
      <c r="H11" s="133"/>
      <c r="I11" s="134">
        <f>IF(I12&gt;=$J$7,1,0)</f>
        <v>0</v>
      </c>
      <c r="J11" s="135"/>
      <c r="K11" s="9"/>
      <c r="L11" s="3"/>
      <c r="M11" s="9"/>
    </row>
    <row r="12" spans="1:15" ht="15" x14ac:dyDescent="0.2">
      <c r="A12" s="5"/>
      <c r="B12" s="17"/>
      <c r="C12" s="7"/>
      <c r="D12" s="7"/>
      <c r="E12" s="7"/>
      <c r="F12" s="8"/>
      <c r="G12" s="130">
        <f>IFERROR(SUMIFS(G$18:G$56,H$18:H$56,"1")/SUMIFS(G$18:G$56,H$18:H$56,"&lt;&gt;"),0)</f>
        <v>0</v>
      </c>
      <c r="H12" s="131"/>
      <c r="I12" s="136">
        <f>IFERROR(SUMIFS(I$18:I$56,J$18:J$56,"1")/SUMIFS(I$18:I$56,J$18:J$56,"&lt;&gt;"),0)</f>
        <v>0</v>
      </c>
      <c r="J12" s="137"/>
      <c r="K12" s="9"/>
      <c r="L12" s="3"/>
      <c r="M12" s="9"/>
    </row>
    <row r="13" spans="1:15" ht="15" x14ac:dyDescent="0.2">
      <c r="A13" s="5"/>
      <c r="B13" s="17" t="s">
        <v>59</v>
      </c>
      <c r="C13" s="21"/>
      <c r="D13" s="21"/>
      <c r="E13" s="21"/>
      <c r="F13" s="6"/>
      <c r="G13" s="43" t="s">
        <v>8</v>
      </c>
      <c r="H13" s="43"/>
      <c r="I13" s="43"/>
      <c r="J13" s="43" t="s">
        <v>9</v>
      </c>
      <c r="K13" s="44" t="s">
        <v>10</v>
      </c>
      <c r="L13" s="3"/>
      <c r="M13" s="9"/>
    </row>
    <row r="14" spans="1:15" ht="16" x14ac:dyDescent="0.2">
      <c r="A14" s="5"/>
      <c r="B14" s="22" t="s">
        <v>11</v>
      </c>
      <c r="C14" s="23"/>
      <c r="D14" s="23"/>
      <c r="E14" s="24"/>
      <c r="F14" s="9"/>
      <c r="G14" s="25"/>
      <c r="H14" s="23"/>
      <c r="I14" s="23"/>
      <c r="J14" s="24"/>
      <c r="K14" s="8"/>
      <c r="L14" s="3"/>
      <c r="M14" s="9"/>
    </row>
    <row r="15" spans="1:15" ht="15" x14ac:dyDescent="0.2">
      <c r="A15" s="5"/>
      <c r="B15" s="26"/>
      <c r="C15" s="128" t="s">
        <v>12</v>
      </c>
      <c r="D15" s="128"/>
      <c r="E15" s="129"/>
      <c r="F15" s="5"/>
      <c r="G15" s="127" t="s">
        <v>13</v>
      </c>
      <c r="H15" s="127"/>
      <c r="I15" s="127"/>
      <c r="J15" s="127"/>
      <c r="K15" s="8"/>
      <c r="L15" s="69" t="s">
        <v>14</v>
      </c>
      <c r="M15" s="9"/>
      <c r="N15" s="41"/>
      <c r="O15" s="41"/>
    </row>
    <row r="16" spans="1:15" ht="15" x14ac:dyDescent="0.2">
      <c r="A16" s="5"/>
      <c r="B16" s="27"/>
      <c r="C16" s="28" t="s">
        <v>15</v>
      </c>
      <c r="D16" s="28" t="s">
        <v>16</v>
      </c>
      <c r="E16" s="47" t="s">
        <v>17</v>
      </c>
      <c r="F16" s="5"/>
      <c r="G16" s="127" t="s">
        <v>15</v>
      </c>
      <c r="H16" s="127"/>
      <c r="I16" s="127" t="s">
        <v>16</v>
      </c>
      <c r="J16" s="127"/>
      <c r="K16" s="8"/>
      <c r="L16" s="69" t="s">
        <v>18</v>
      </c>
      <c r="M16" s="9"/>
      <c r="N16" s="41"/>
      <c r="O16" s="41"/>
    </row>
    <row r="17" spans="1:15" ht="15" x14ac:dyDescent="0.2">
      <c r="A17" s="5"/>
      <c r="B17" s="29" t="s">
        <v>19</v>
      </c>
      <c r="C17" s="30"/>
      <c r="D17" s="30"/>
      <c r="E17" s="48"/>
      <c r="F17" s="8"/>
      <c r="G17" s="29"/>
      <c r="H17" s="31"/>
      <c r="I17" s="107"/>
      <c r="J17" s="31"/>
      <c r="K17" s="9"/>
      <c r="L17" s="69"/>
      <c r="M17" s="9"/>
      <c r="N17" s="41"/>
      <c r="O17" s="41"/>
    </row>
    <row r="18" spans="1:15" ht="15" x14ac:dyDescent="0.2">
      <c r="A18" s="32" t="s">
        <v>20</v>
      </c>
      <c r="B18" s="33" t="s">
        <v>21</v>
      </c>
      <c r="C18" s="34">
        <v>2</v>
      </c>
      <c r="D18" s="35">
        <v>2</v>
      </c>
      <c r="E18" s="49">
        <v>0.8</v>
      </c>
      <c r="F18" s="50"/>
      <c r="G18" s="64">
        <f>IF($A18="+",INDEX($C18:$E18,MATCH($G$16,$C$16:$E$16,0)),G17)</f>
        <v>2</v>
      </c>
      <c r="H18" s="66"/>
      <c r="I18" s="63">
        <f>IF($A18="+",INDEX($C18:$E18,MATCH($I$16,$C$16:$E$16,0)),I17)</f>
        <v>2</v>
      </c>
      <c r="J18" s="65"/>
      <c r="K18" s="9"/>
      <c r="L18" s="69"/>
      <c r="M18" s="9"/>
    </row>
    <row r="19" spans="1:15" ht="15" outlineLevel="1" x14ac:dyDescent="0.2">
      <c r="A19" s="5"/>
      <c r="B19" s="118" t="s">
        <v>22</v>
      </c>
      <c r="C19" s="78">
        <v>2</v>
      </c>
      <c r="D19" s="78">
        <v>3</v>
      </c>
      <c r="E19" s="79">
        <v>4</v>
      </c>
      <c r="F19" s="62"/>
      <c r="G19" s="111">
        <f>IF($A19="+",INDEX($C19:$E19,MATCH($G$16,$C$16:$E$16,0)),G18)</f>
        <v>2</v>
      </c>
      <c r="H19" s="67"/>
      <c r="I19" s="115">
        <f>IF($A19="+",INDEX($C19:$E19,MATCH($G$16,$C$16:$E$16,0)),I18)</f>
        <v>2</v>
      </c>
      <c r="J19" s="68"/>
      <c r="K19" s="9"/>
      <c r="L19" s="69" t="s">
        <v>23</v>
      </c>
      <c r="M19" s="9"/>
    </row>
    <row r="20" spans="1:15" ht="15" outlineLevel="1" x14ac:dyDescent="0.2">
      <c r="A20" s="5"/>
      <c r="B20" s="119" t="s">
        <v>24</v>
      </c>
      <c r="C20" s="81">
        <v>2</v>
      </c>
      <c r="D20" s="81">
        <v>3</v>
      </c>
      <c r="E20" s="82">
        <v>4</v>
      </c>
      <c r="F20" s="62"/>
      <c r="G20" s="112">
        <f t="shared" ref="G20:G30" si="0">IF($A20="+",INDEX($C20:$E20,MATCH($G$16,$C$16:$E$16,0)),G19)</f>
        <v>2</v>
      </c>
      <c r="H20" s="67"/>
      <c r="I20" s="115">
        <f t="shared" ref="I20:I29" si="1">IF($A20="+",INDEX($C20:$E20,MATCH($G$16,$C$16:$E$16,0)),I19)</f>
        <v>2</v>
      </c>
      <c r="J20" s="68"/>
      <c r="K20" s="9"/>
      <c r="L20" s="69"/>
      <c r="M20" s="9"/>
    </row>
    <row r="21" spans="1:15" ht="27.75" customHeight="1" outlineLevel="1" x14ac:dyDescent="0.2">
      <c r="A21" s="5"/>
      <c r="B21" s="120" t="s">
        <v>25</v>
      </c>
      <c r="C21" s="81">
        <v>2</v>
      </c>
      <c r="D21" s="81">
        <v>3</v>
      </c>
      <c r="E21" s="82">
        <v>4</v>
      </c>
      <c r="F21" s="62"/>
      <c r="G21" s="112">
        <f t="shared" si="0"/>
        <v>2</v>
      </c>
      <c r="H21" s="67"/>
      <c r="I21" s="115">
        <f t="shared" si="1"/>
        <v>2</v>
      </c>
      <c r="J21" s="68"/>
      <c r="K21" s="9"/>
      <c r="L21" s="69"/>
      <c r="M21" s="9"/>
    </row>
    <row r="22" spans="1:15" ht="32" outlineLevel="1" x14ac:dyDescent="0.2">
      <c r="A22" s="5"/>
      <c r="B22" s="120" t="s">
        <v>26</v>
      </c>
      <c r="C22" s="60">
        <v>2</v>
      </c>
      <c r="D22" s="60">
        <v>3</v>
      </c>
      <c r="E22" s="61">
        <v>4</v>
      </c>
      <c r="F22" s="62"/>
      <c r="G22" s="112">
        <f t="shared" si="0"/>
        <v>2</v>
      </c>
      <c r="H22" s="67"/>
      <c r="I22" s="115">
        <f t="shared" si="1"/>
        <v>2</v>
      </c>
      <c r="J22" s="68"/>
      <c r="K22" s="9"/>
      <c r="L22" s="69"/>
      <c r="M22" s="9"/>
    </row>
    <row r="23" spans="1:15" ht="32" outlineLevel="1" x14ac:dyDescent="0.2">
      <c r="A23" s="5"/>
      <c r="B23" s="120" t="s">
        <v>27</v>
      </c>
      <c r="C23" s="60">
        <v>2</v>
      </c>
      <c r="D23" s="60">
        <v>3</v>
      </c>
      <c r="E23" s="61">
        <v>4</v>
      </c>
      <c r="F23" s="62"/>
      <c r="G23" s="112">
        <f t="shared" si="0"/>
        <v>2</v>
      </c>
      <c r="H23" s="67"/>
      <c r="I23" s="115">
        <f t="shared" si="1"/>
        <v>2</v>
      </c>
      <c r="J23" s="68"/>
      <c r="K23" s="9"/>
      <c r="L23" s="69"/>
      <c r="M23" s="9"/>
    </row>
    <row r="24" spans="1:15" ht="30.75" customHeight="1" outlineLevel="1" x14ac:dyDescent="0.2">
      <c r="A24" s="5"/>
      <c r="B24" s="120" t="s">
        <v>28</v>
      </c>
      <c r="C24" s="60">
        <v>2</v>
      </c>
      <c r="D24" s="60">
        <v>3</v>
      </c>
      <c r="E24" s="61">
        <v>4</v>
      </c>
      <c r="F24" s="62"/>
      <c r="G24" s="113">
        <f t="shared" si="0"/>
        <v>2</v>
      </c>
      <c r="H24" s="67"/>
      <c r="I24" s="115">
        <f t="shared" si="1"/>
        <v>2</v>
      </c>
      <c r="J24" s="68"/>
      <c r="K24" s="9"/>
      <c r="L24" s="69"/>
      <c r="M24" s="9"/>
    </row>
    <row r="25" spans="1:15" ht="15" x14ac:dyDescent="0.2">
      <c r="A25" s="32" t="s">
        <v>20</v>
      </c>
      <c r="B25" s="84" t="s">
        <v>29</v>
      </c>
      <c r="C25" s="85">
        <v>1.2</v>
      </c>
      <c r="D25" s="86">
        <v>2</v>
      </c>
      <c r="E25" s="87">
        <v>1.5</v>
      </c>
      <c r="F25" s="88"/>
      <c r="G25" s="89">
        <f t="shared" si="0"/>
        <v>1.2</v>
      </c>
      <c r="H25" s="109"/>
      <c r="I25" s="91">
        <f>IF($A25="+",INDEX($C25:$E25,MATCH($I$16,$C$16:$E$16,0)),I24)</f>
        <v>2</v>
      </c>
      <c r="J25" s="110"/>
      <c r="K25" s="9"/>
      <c r="L25" s="69"/>
      <c r="M25" s="9"/>
    </row>
    <row r="26" spans="1:15" ht="32" outlineLevel="1" x14ac:dyDescent="0.2">
      <c r="A26" s="5"/>
      <c r="B26" s="120" t="s">
        <v>30</v>
      </c>
      <c r="C26" s="60">
        <v>2</v>
      </c>
      <c r="D26" s="60">
        <v>3</v>
      </c>
      <c r="E26" s="61">
        <v>4</v>
      </c>
      <c r="F26" s="62"/>
      <c r="G26" s="111">
        <f t="shared" si="0"/>
        <v>1.2</v>
      </c>
      <c r="H26" s="67"/>
      <c r="I26" s="115">
        <f t="shared" si="1"/>
        <v>2</v>
      </c>
      <c r="J26" s="68"/>
      <c r="K26" s="9"/>
      <c r="L26" s="69"/>
      <c r="M26" s="9"/>
    </row>
    <row r="27" spans="1:15" ht="16" outlineLevel="1" x14ac:dyDescent="0.2">
      <c r="A27" s="5"/>
      <c r="B27" s="120" t="s">
        <v>31</v>
      </c>
      <c r="C27" s="81">
        <v>2</v>
      </c>
      <c r="D27" s="81">
        <v>2</v>
      </c>
      <c r="E27" s="82">
        <v>4</v>
      </c>
      <c r="F27" s="62"/>
      <c r="G27" s="112">
        <f t="shared" si="0"/>
        <v>1.2</v>
      </c>
      <c r="H27" s="67"/>
      <c r="I27" s="115">
        <f t="shared" si="1"/>
        <v>2</v>
      </c>
      <c r="J27" s="68"/>
      <c r="K27" s="9"/>
      <c r="L27" s="69"/>
      <c r="M27" s="9"/>
    </row>
    <row r="28" spans="1:15" ht="15" outlineLevel="1" x14ac:dyDescent="0.2">
      <c r="A28" s="5"/>
      <c r="B28" s="119" t="s">
        <v>32</v>
      </c>
      <c r="C28" s="93">
        <v>1</v>
      </c>
      <c r="D28" s="93">
        <v>2</v>
      </c>
      <c r="E28" s="94">
        <v>3</v>
      </c>
      <c r="F28" s="62"/>
      <c r="G28" s="112">
        <f t="shared" si="0"/>
        <v>1.2</v>
      </c>
      <c r="H28" s="67"/>
      <c r="I28" s="115">
        <f t="shared" si="1"/>
        <v>2</v>
      </c>
      <c r="J28" s="95"/>
      <c r="K28" s="9"/>
      <c r="L28" s="69"/>
      <c r="M28" s="9"/>
    </row>
    <row r="29" spans="1:15" ht="15" outlineLevel="1" x14ac:dyDescent="0.2">
      <c r="A29" s="5"/>
      <c r="B29" s="121" t="s">
        <v>33</v>
      </c>
      <c r="C29" s="81">
        <v>2</v>
      </c>
      <c r="D29" s="81">
        <v>3</v>
      </c>
      <c r="E29" s="82">
        <v>4</v>
      </c>
      <c r="F29" s="62"/>
      <c r="G29" s="113">
        <f t="shared" si="0"/>
        <v>1.2</v>
      </c>
      <c r="H29" s="67"/>
      <c r="I29" s="116">
        <f t="shared" si="1"/>
        <v>2</v>
      </c>
      <c r="J29" s="95"/>
      <c r="K29" s="9"/>
      <c r="L29" s="69"/>
      <c r="M29" s="9"/>
    </row>
    <row r="30" spans="1:15" ht="15" x14ac:dyDescent="0.2">
      <c r="A30" s="32" t="s">
        <v>20</v>
      </c>
      <c r="B30" s="97" t="s">
        <v>34</v>
      </c>
      <c r="C30" s="85">
        <v>0.8</v>
      </c>
      <c r="D30" s="86">
        <v>1</v>
      </c>
      <c r="E30" s="87">
        <v>2</v>
      </c>
      <c r="F30" s="88"/>
      <c r="G30" s="89">
        <f t="shared" si="0"/>
        <v>0.8</v>
      </c>
      <c r="H30" s="90"/>
      <c r="I30" s="98">
        <f>IF($A30="+",INDEX($C30:$E30,MATCH($I$16,$C$16:$E$16,0)),I29)</f>
        <v>1</v>
      </c>
      <c r="J30" s="92"/>
      <c r="K30" s="9"/>
      <c r="L30" s="69"/>
      <c r="M30" s="9"/>
    </row>
    <row r="31" spans="1:15" ht="15" outlineLevel="1" x14ac:dyDescent="0.2">
      <c r="A31" s="5"/>
      <c r="B31" s="80" t="s">
        <v>35</v>
      </c>
      <c r="C31" s="93">
        <v>2</v>
      </c>
      <c r="D31" s="93">
        <v>3</v>
      </c>
      <c r="E31" s="94">
        <v>4</v>
      </c>
      <c r="F31" s="62"/>
      <c r="G31" s="113">
        <f>IF($A31="+",INDEX($C31:$E31,MATCH($G$16,$C$16:$E$16,0)),G32)</f>
        <v>0.8</v>
      </c>
      <c r="H31" s="67"/>
      <c r="I31" s="116">
        <f>IF($A31="+",INDEX($C31:$E31,MATCH($G$16,$C$16:$E$16,0)),I32)</f>
        <v>1</v>
      </c>
      <c r="J31" s="95"/>
      <c r="K31" s="9"/>
      <c r="L31" s="69"/>
      <c r="M31" s="9"/>
    </row>
    <row r="32" spans="1:15" ht="15" outlineLevel="1" x14ac:dyDescent="0.2">
      <c r="A32" s="5"/>
      <c r="B32" s="96" t="s">
        <v>36</v>
      </c>
      <c r="C32" s="81">
        <v>1</v>
      </c>
      <c r="D32" s="81">
        <v>3</v>
      </c>
      <c r="E32" s="82">
        <v>4</v>
      </c>
      <c r="F32" s="62"/>
      <c r="G32" s="113">
        <f>IF($A32="+",INDEX($C32:$E32,MATCH($G$16,$C$16:$E$16,0)),G30)</f>
        <v>0.8</v>
      </c>
      <c r="H32" s="67"/>
      <c r="I32" s="116">
        <f>IF($A32="+",INDEX($C32:$E32,MATCH($G$16,$C$16:$E$16,0)),I30)</f>
        <v>1</v>
      </c>
      <c r="J32" s="95"/>
      <c r="K32" s="9"/>
      <c r="L32" s="69"/>
      <c r="M32" s="9"/>
    </row>
    <row r="33" spans="1:13" ht="15" outlineLevel="1" x14ac:dyDescent="0.2">
      <c r="A33" s="5"/>
      <c r="B33" s="29" t="s">
        <v>37</v>
      </c>
      <c r="C33" s="30"/>
      <c r="D33" s="30"/>
      <c r="E33" s="48"/>
      <c r="F33" s="8"/>
      <c r="G33" s="29"/>
      <c r="H33" s="31"/>
      <c r="I33" s="107"/>
      <c r="J33" s="31"/>
      <c r="K33" s="9"/>
      <c r="L33" s="69"/>
      <c r="M33" s="9"/>
    </row>
    <row r="34" spans="1:13" ht="15" outlineLevel="1" x14ac:dyDescent="0.2">
      <c r="A34" s="5"/>
      <c r="B34" s="33" t="s">
        <v>21</v>
      </c>
      <c r="C34" s="85">
        <v>2</v>
      </c>
      <c r="D34" s="86">
        <v>2</v>
      </c>
      <c r="E34" s="87">
        <v>0.8</v>
      </c>
      <c r="F34" s="50"/>
      <c r="G34" s="64">
        <f>IF($A35="+",INDEX($C34:$E34,MATCH($G$16,$C$16:$E$16,0)),G55)</f>
        <v>2</v>
      </c>
      <c r="H34" s="66"/>
      <c r="I34" s="63">
        <f>IF($A35="+",INDEX($C34:$E34,MATCH($I$16,$C$16:$E$16,0)),I55)</f>
        <v>2</v>
      </c>
      <c r="J34" s="65"/>
      <c r="K34" s="9"/>
      <c r="L34" s="69"/>
      <c r="M34" s="9"/>
    </row>
    <row r="35" spans="1:13" ht="15" outlineLevel="1" x14ac:dyDescent="0.2">
      <c r="A35" s="32" t="s">
        <v>20</v>
      </c>
      <c r="B35" s="119" t="s">
        <v>38</v>
      </c>
      <c r="C35" s="81">
        <v>2</v>
      </c>
      <c r="D35" s="81">
        <v>3</v>
      </c>
      <c r="E35" s="82">
        <v>4</v>
      </c>
      <c r="F35" s="62"/>
      <c r="G35" s="114">
        <f t="shared" ref="G35:G46" si="2">IF($A36="+",INDEX($C35:$E35,MATCH($G$16,$C$16:$E$16,0)),G34)</f>
        <v>2</v>
      </c>
      <c r="H35" s="67"/>
      <c r="I35" s="115">
        <f>IF($A36="+",INDEX($C35:$E35,MATCH($G$16,$C$16:$E$16,0)),I34)</f>
        <v>2</v>
      </c>
      <c r="J35" s="68"/>
      <c r="K35" s="9"/>
      <c r="L35" s="69"/>
      <c r="M35" s="9"/>
    </row>
    <row r="36" spans="1:13" ht="16" outlineLevel="1" x14ac:dyDescent="0.2">
      <c r="A36" s="5"/>
      <c r="B36" s="120" t="s">
        <v>39</v>
      </c>
      <c r="C36" s="93">
        <v>2</v>
      </c>
      <c r="D36" s="93">
        <v>3</v>
      </c>
      <c r="E36" s="94">
        <v>4</v>
      </c>
      <c r="F36" s="62"/>
      <c r="G36" s="114">
        <f t="shared" si="2"/>
        <v>2</v>
      </c>
      <c r="H36" s="67"/>
      <c r="I36" s="116">
        <f>IF($A37="+",INDEX($C36:$E36,MATCH($G$16,$C$16:$E$16,0)),I35)</f>
        <v>2</v>
      </c>
      <c r="J36" s="68"/>
      <c r="K36" s="9"/>
      <c r="L36" s="69"/>
      <c r="M36" s="9"/>
    </row>
    <row r="37" spans="1:13" ht="32.25" customHeight="1" outlineLevel="1" x14ac:dyDescent="0.2">
      <c r="A37" s="5"/>
      <c r="B37" s="84" t="s">
        <v>29</v>
      </c>
      <c r="C37" s="85">
        <v>1.2</v>
      </c>
      <c r="D37" s="86">
        <v>2</v>
      </c>
      <c r="E37" s="87">
        <v>1.5</v>
      </c>
      <c r="F37" s="88"/>
      <c r="G37" s="89">
        <f t="shared" si="2"/>
        <v>1.2</v>
      </c>
      <c r="H37" s="109"/>
      <c r="I37" s="91">
        <f>IF($A38="+",INDEX($C37:$E37,MATCH($I$16,$C$16:$E$16,0)),I36)</f>
        <v>2</v>
      </c>
      <c r="J37" s="110"/>
      <c r="K37" s="9"/>
      <c r="L37" s="69"/>
      <c r="M37" s="9"/>
    </row>
    <row r="38" spans="1:13" ht="15" outlineLevel="1" x14ac:dyDescent="0.2">
      <c r="A38" s="32" t="s">
        <v>20</v>
      </c>
      <c r="B38" s="119" t="s">
        <v>40</v>
      </c>
      <c r="C38" s="93">
        <v>1</v>
      </c>
      <c r="D38" s="93">
        <v>3</v>
      </c>
      <c r="E38" s="94">
        <v>4</v>
      </c>
      <c r="F38" s="62"/>
      <c r="G38" s="114">
        <f t="shared" si="2"/>
        <v>1.2</v>
      </c>
      <c r="H38" s="67"/>
      <c r="I38" s="116">
        <f>IF($A39="+",INDEX($C38:$E38,MATCH($G$16,$C$16:$E$16,0)),I37)</f>
        <v>2</v>
      </c>
      <c r="J38" s="68"/>
      <c r="K38" s="9"/>
      <c r="L38" s="69"/>
      <c r="M38" s="9"/>
    </row>
    <row r="39" spans="1:13" ht="15" outlineLevel="1" x14ac:dyDescent="0.2">
      <c r="A39" s="5"/>
      <c r="B39" s="119" t="s">
        <v>41</v>
      </c>
      <c r="C39" s="93">
        <v>1</v>
      </c>
      <c r="D39" s="93">
        <v>3</v>
      </c>
      <c r="E39" s="94">
        <v>4</v>
      </c>
      <c r="F39" s="62"/>
      <c r="G39" s="114">
        <f t="shared" si="2"/>
        <v>1.2</v>
      </c>
      <c r="H39" s="67"/>
      <c r="I39" s="116">
        <f>IF($A40="+",INDEX($C39:$E39,MATCH($G$16,$C$16:$E$16,0)),I38)</f>
        <v>2</v>
      </c>
      <c r="J39" s="68"/>
      <c r="K39" s="9"/>
      <c r="L39" s="69"/>
      <c r="M39" s="9"/>
    </row>
    <row r="40" spans="1:13" ht="15" outlineLevel="1" x14ac:dyDescent="0.2">
      <c r="A40" s="5"/>
      <c r="B40" s="122" t="s">
        <v>42</v>
      </c>
      <c r="C40" s="78">
        <v>1</v>
      </c>
      <c r="D40" s="78">
        <v>3</v>
      </c>
      <c r="E40" s="79">
        <v>4</v>
      </c>
      <c r="F40" s="62"/>
      <c r="G40" s="114">
        <f t="shared" si="2"/>
        <v>1.2</v>
      </c>
      <c r="H40" s="67"/>
      <c r="I40" s="114">
        <f>IF($A41="+",INDEX($C40:$E40,MATCH($G$16,$C$16:$E$16,0)),I39)</f>
        <v>2</v>
      </c>
      <c r="J40" s="95"/>
      <c r="K40" s="9"/>
      <c r="L40" s="69"/>
      <c r="M40" s="9"/>
    </row>
    <row r="41" spans="1:13" ht="15" outlineLevel="1" x14ac:dyDescent="0.2">
      <c r="A41" s="5"/>
      <c r="B41" s="97" t="s">
        <v>34</v>
      </c>
      <c r="C41" s="85">
        <v>0.8</v>
      </c>
      <c r="D41" s="86">
        <v>1</v>
      </c>
      <c r="E41" s="87">
        <v>2</v>
      </c>
      <c r="F41" s="88"/>
      <c r="G41" s="89">
        <f t="shared" si="2"/>
        <v>0.8</v>
      </c>
      <c r="H41" s="90"/>
      <c r="I41" s="98">
        <f>IF($A42="+",INDEX($C41:$E41,MATCH($I$16,$C$16:$E$16,0)),I40)</f>
        <v>1</v>
      </c>
      <c r="J41" s="92"/>
      <c r="K41" s="9"/>
      <c r="L41" s="69"/>
      <c r="M41" s="9"/>
    </row>
    <row r="42" spans="1:13" ht="32" outlineLevel="1" x14ac:dyDescent="0.2">
      <c r="A42" s="32" t="s">
        <v>20</v>
      </c>
      <c r="B42" s="123" t="s">
        <v>43</v>
      </c>
      <c r="C42" s="81">
        <v>1</v>
      </c>
      <c r="D42" s="81">
        <v>2</v>
      </c>
      <c r="E42" s="82">
        <v>4</v>
      </c>
      <c r="F42" s="62"/>
      <c r="G42" s="114">
        <f t="shared" si="2"/>
        <v>0.8</v>
      </c>
      <c r="H42" s="67"/>
      <c r="I42" s="115">
        <f>IF($A43="+",INDEX($C42:$E42,MATCH($G$16,$C$16:$E$16,0)),I41)</f>
        <v>1</v>
      </c>
      <c r="J42" s="68"/>
      <c r="K42" s="9"/>
      <c r="L42" s="69"/>
      <c r="M42" s="9"/>
    </row>
    <row r="43" spans="1:13" ht="33.75" customHeight="1" outlineLevel="1" x14ac:dyDescent="0.2">
      <c r="A43" s="5"/>
      <c r="B43" s="119" t="s">
        <v>44</v>
      </c>
      <c r="C43" s="60">
        <v>1</v>
      </c>
      <c r="D43" s="60">
        <v>3</v>
      </c>
      <c r="E43" s="61">
        <v>4</v>
      </c>
      <c r="F43" s="62"/>
      <c r="G43" s="114">
        <f t="shared" si="2"/>
        <v>0.8</v>
      </c>
      <c r="H43" s="67"/>
      <c r="I43" s="115">
        <f>IF($A44="+",INDEX($C43:$E43,MATCH($G$16,$C$16:$E$16,0)),I42)</f>
        <v>1</v>
      </c>
      <c r="J43" s="99"/>
      <c r="K43" s="9"/>
      <c r="L43" s="69"/>
      <c r="M43" s="9"/>
    </row>
    <row r="44" spans="1:13" ht="32" outlineLevel="1" x14ac:dyDescent="0.2">
      <c r="A44" s="5"/>
      <c r="B44" s="124" t="s">
        <v>45</v>
      </c>
      <c r="C44" s="60">
        <v>0</v>
      </c>
      <c r="D44" s="60">
        <v>1</v>
      </c>
      <c r="E44" s="61">
        <v>2</v>
      </c>
      <c r="F44" s="62"/>
      <c r="G44" s="114">
        <f t="shared" si="2"/>
        <v>0.8</v>
      </c>
      <c r="H44" s="67"/>
      <c r="I44" s="115">
        <f>IF($A45="+",INDEX($C44:$E44,MATCH($G$16,$C$16:$E$16,0)),I43)</f>
        <v>1</v>
      </c>
      <c r="J44" s="99"/>
      <c r="K44" s="9"/>
      <c r="L44" s="69"/>
      <c r="M44" s="9"/>
    </row>
    <row r="45" spans="1:13" ht="15" outlineLevel="1" x14ac:dyDescent="0.2">
      <c r="A45" s="5"/>
      <c r="B45" s="119" t="s">
        <v>46</v>
      </c>
      <c r="C45" s="60">
        <v>1</v>
      </c>
      <c r="D45" s="60">
        <v>2</v>
      </c>
      <c r="E45" s="61">
        <v>3</v>
      </c>
      <c r="F45" s="62"/>
      <c r="G45" s="114">
        <f t="shared" si="2"/>
        <v>0.8</v>
      </c>
      <c r="H45" s="67"/>
      <c r="I45" s="115">
        <f>IF($A46="+",INDEX($C45:$E45,MATCH($G$16,$C$16:$E$16,0)),I44)</f>
        <v>1</v>
      </c>
      <c r="J45" s="99"/>
      <c r="K45" s="9"/>
      <c r="L45" s="69"/>
      <c r="M45" s="9"/>
    </row>
    <row r="46" spans="1:13" ht="15" outlineLevel="1" x14ac:dyDescent="0.2">
      <c r="A46" s="5"/>
      <c r="B46" s="97" t="s">
        <v>47</v>
      </c>
      <c r="C46" s="85">
        <v>0.8</v>
      </c>
      <c r="D46" s="86">
        <v>1</v>
      </c>
      <c r="E46" s="87">
        <v>1.2</v>
      </c>
      <c r="F46" s="62"/>
      <c r="G46" s="89">
        <f t="shared" si="2"/>
        <v>0.8</v>
      </c>
      <c r="H46" s="90"/>
      <c r="I46" s="98">
        <f>IF($A47="+",INDEX($C46:$E46,MATCH($I$16,$C$16:$E$16,0)),I45)</f>
        <v>1</v>
      </c>
      <c r="J46" s="92"/>
      <c r="K46" s="9"/>
      <c r="L46" s="69"/>
      <c r="M46" s="9"/>
    </row>
    <row r="47" spans="1:13" ht="15" outlineLevel="1" x14ac:dyDescent="0.2">
      <c r="A47" s="5" t="s">
        <v>20</v>
      </c>
      <c r="B47" s="96" t="s">
        <v>48</v>
      </c>
      <c r="C47" s="60">
        <v>1</v>
      </c>
      <c r="D47" s="60">
        <v>3</v>
      </c>
      <c r="E47" s="61">
        <v>4</v>
      </c>
      <c r="F47" s="62"/>
      <c r="G47" s="114">
        <f>IF($A48="+",INDEX($C47:$E47,MATCH($G$16,$C$16:$E$16,0)),G45)</f>
        <v>0.8</v>
      </c>
      <c r="H47" s="67"/>
      <c r="I47" s="115">
        <f>IF($A48="+",INDEX($C47:$E47,MATCH($G$16,$C$16:$E$16,0)),I45)</f>
        <v>1</v>
      </c>
      <c r="J47" s="99"/>
      <c r="K47" s="9"/>
      <c r="L47" s="69"/>
      <c r="M47" s="9"/>
    </row>
    <row r="48" spans="1:13" ht="15" outlineLevel="1" x14ac:dyDescent="0.2">
      <c r="A48" s="5"/>
      <c r="B48" s="77" t="s">
        <v>49</v>
      </c>
      <c r="C48" s="60">
        <v>1</v>
      </c>
      <c r="D48" s="60">
        <v>2</v>
      </c>
      <c r="E48" s="61">
        <v>3</v>
      </c>
      <c r="F48" s="62"/>
      <c r="G48" s="114">
        <f>IF($A49="+",INDEX($C48:$E48,MATCH($G$16,$C$16:$E$16,0)),G46)</f>
        <v>0.8</v>
      </c>
      <c r="H48" s="67"/>
      <c r="I48" s="115">
        <f>IF($A49="+",INDEX($C48:$E48,MATCH($G$16,$C$16:$E$16,0)),I46)</f>
        <v>1</v>
      </c>
      <c r="J48" s="99"/>
      <c r="K48" s="9"/>
      <c r="L48" s="69"/>
      <c r="M48" s="9"/>
    </row>
    <row r="49" spans="1:14" ht="16" outlineLevel="1" x14ac:dyDescent="0.2">
      <c r="A49" s="5"/>
      <c r="B49" s="83" t="s">
        <v>50</v>
      </c>
      <c r="C49" s="60">
        <v>1</v>
      </c>
      <c r="D49" s="60">
        <v>2</v>
      </c>
      <c r="E49" s="61">
        <v>3</v>
      </c>
      <c r="F49" s="62"/>
      <c r="G49" s="114">
        <f>IF($A50="+",INDEX($C49:$E49,MATCH($G$16,$C$16:$E$16,0)),G48)</f>
        <v>0.8</v>
      </c>
      <c r="H49" s="67"/>
      <c r="I49" s="115">
        <f>IF($A50="+",INDEX($C49:$E49,MATCH($G$16,$C$16:$E$16,0)),I48)</f>
        <v>1</v>
      </c>
      <c r="J49" s="99"/>
      <c r="K49" s="9"/>
      <c r="L49" s="69"/>
      <c r="M49" s="9"/>
    </row>
    <row r="50" spans="1:14" ht="15" outlineLevel="1" x14ac:dyDescent="0.2">
      <c r="A50" s="5"/>
      <c r="B50" s="80" t="s">
        <v>51</v>
      </c>
      <c r="C50" s="60">
        <v>1</v>
      </c>
      <c r="D50" s="60">
        <v>2</v>
      </c>
      <c r="E50" s="61">
        <v>3</v>
      </c>
      <c r="F50" s="62"/>
      <c r="G50" s="114">
        <f>IF($A51="+",INDEX($C50:$E50,MATCH($G$16,$C$16:$E$16,0)),G49)</f>
        <v>0.8</v>
      </c>
      <c r="H50" s="67"/>
      <c r="I50" s="115">
        <f>IF($A51="+",INDEX($C50:$E50,MATCH($G$16,$C$16:$E$16,0)),I49)</f>
        <v>1</v>
      </c>
      <c r="J50" s="99"/>
      <c r="K50" s="9"/>
      <c r="L50" s="69"/>
      <c r="M50" s="9"/>
    </row>
    <row r="51" spans="1:14" ht="15" outlineLevel="1" x14ac:dyDescent="0.2">
      <c r="A51" s="5"/>
      <c r="B51" s="80" t="s">
        <v>52</v>
      </c>
      <c r="C51" s="60">
        <v>1</v>
      </c>
      <c r="D51" s="60">
        <v>2</v>
      </c>
      <c r="E51" s="61">
        <v>3</v>
      </c>
      <c r="F51" s="62"/>
      <c r="G51" s="114">
        <f>IF($A52="+",INDEX($C51:$E51,MATCH($G$16,$C$16:$E$16,0)),G50)</f>
        <v>0.8</v>
      </c>
      <c r="H51" s="67"/>
      <c r="I51" s="115">
        <f>IF($A52="+",INDEX($C51:$E51,MATCH($G$16,$C$16:$E$16,0)),I50)</f>
        <v>1</v>
      </c>
      <c r="J51" s="99"/>
      <c r="K51" s="9"/>
      <c r="L51" s="69"/>
      <c r="M51" s="9"/>
    </row>
    <row r="52" spans="1:14" ht="15" outlineLevel="1" x14ac:dyDescent="0.2">
      <c r="A52" s="5"/>
      <c r="B52" s="80" t="s">
        <v>53</v>
      </c>
      <c r="C52" s="60">
        <v>1</v>
      </c>
      <c r="D52" s="60">
        <v>2</v>
      </c>
      <c r="E52" s="61">
        <v>3</v>
      </c>
      <c r="F52" s="62"/>
      <c r="G52" s="114">
        <f>IF($A53="+",INDEX($C52:$E52,MATCH($G$16,$C$16:$E$16,0)),G48)</f>
        <v>0.8</v>
      </c>
      <c r="H52" s="67"/>
      <c r="I52" s="115">
        <f>IF($A53="+",INDEX($C52:$E52,MATCH($G$16,$C$16:$E$16,0)),I48)</f>
        <v>1</v>
      </c>
      <c r="J52" s="99"/>
      <c r="K52" s="9"/>
      <c r="L52" s="69"/>
      <c r="M52" s="9"/>
    </row>
    <row r="53" spans="1:14" ht="15" outlineLevel="1" x14ac:dyDescent="0.2">
      <c r="A53" s="5"/>
      <c r="B53" s="80" t="s">
        <v>54</v>
      </c>
      <c r="C53" s="60">
        <v>1</v>
      </c>
      <c r="D53" s="60">
        <v>1</v>
      </c>
      <c r="E53" s="61">
        <v>3</v>
      </c>
      <c r="F53" s="62"/>
      <c r="G53" s="114">
        <f>IF($A54="+",INDEX($C53:$E53,MATCH($G$16,$C$16:$E$16,0)),G52)</f>
        <v>0.8</v>
      </c>
      <c r="H53" s="67"/>
      <c r="I53" s="115">
        <f>IF($A54="+",INDEX($C53:$E53,MATCH($G$16,$C$16:$E$16,0)),I52)</f>
        <v>1</v>
      </c>
      <c r="J53" s="99"/>
      <c r="K53" s="9"/>
      <c r="L53" s="69"/>
      <c r="M53" s="9"/>
    </row>
    <row r="54" spans="1:14" ht="15" outlineLevel="1" x14ac:dyDescent="0.2">
      <c r="A54" s="5"/>
      <c r="B54" s="80" t="s">
        <v>55</v>
      </c>
      <c r="C54" s="60">
        <v>1</v>
      </c>
      <c r="D54" s="60">
        <v>1</v>
      </c>
      <c r="E54" s="61">
        <v>3</v>
      </c>
      <c r="F54" s="62"/>
      <c r="G54" s="114">
        <f>IF($A55="+",INDEX($C54:$E54,MATCH($G$16,$C$16:$E$16,0)),G52)</f>
        <v>0.8</v>
      </c>
      <c r="H54" s="67"/>
      <c r="I54" s="115">
        <f>IF($A55="+",INDEX($C54:$E54,MATCH($G$16,$C$16:$E$16,0)),I52)</f>
        <v>1</v>
      </c>
      <c r="J54" s="70"/>
      <c r="K54" s="9"/>
      <c r="L54" s="69"/>
      <c r="M54" s="9"/>
    </row>
    <row r="55" spans="1:14" ht="15" outlineLevel="1" x14ac:dyDescent="0.2">
      <c r="A55" s="5"/>
      <c r="B55" s="80" t="s">
        <v>56</v>
      </c>
      <c r="C55" s="60">
        <v>1</v>
      </c>
      <c r="D55" s="60">
        <v>3</v>
      </c>
      <c r="E55" s="61">
        <v>4</v>
      </c>
      <c r="F55" s="62"/>
      <c r="G55" s="117">
        <f>IF($A33="+",INDEX($C55:$E55,MATCH($G$16,$C$16:$E$16,0)),G32)</f>
        <v>0.8</v>
      </c>
      <c r="H55" s="67"/>
      <c r="I55" s="115">
        <f>IF($A33="+",INDEX($C55:$E55,MATCH($G$16,$C$16:$E$16,0)),I32)</f>
        <v>1</v>
      </c>
      <c r="J55" s="68"/>
      <c r="K55" s="9"/>
      <c r="L55" s="69"/>
      <c r="M55" s="9"/>
    </row>
    <row r="56" spans="1:14" ht="15" outlineLevel="1" x14ac:dyDescent="0.2">
      <c r="A56" s="5"/>
      <c r="B56" s="80" t="s">
        <v>57</v>
      </c>
      <c r="C56" s="60">
        <v>1</v>
      </c>
      <c r="D56" s="60">
        <v>1</v>
      </c>
      <c r="E56" s="61">
        <v>3</v>
      </c>
      <c r="F56" s="62"/>
      <c r="G56" s="114">
        <f>IF($A56="+",INDEX($C56:$E56,MATCH($G$16,$C$16:$E$16,0)),G54)</f>
        <v>0.8</v>
      </c>
      <c r="H56" s="67"/>
      <c r="I56" s="115">
        <f>IF($A56="+",INDEX($C56:$E56,MATCH($G$16,$C$16:$E$16,0)),I54)</f>
        <v>1</v>
      </c>
      <c r="J56" s="99"/>
      <c r="K56" s="9"/>
      <c r="L56" s="69"/>
      <c r="M56" s="9"/>
    </row>
    <row r="57" spans="1:14" ht="15" x14ac:dyDescent="0.2">
      <c r="A57" s="32" t="s">
        <v>20</v>
      </c>
      <c r="B57" s="100" t="s">
        <v>58</v>
      </c>
      <c r="C57" s="101"/>
      <c r="D57" s="101"/>
      <c r="E57" s="102"/>
      <c r="F57" s="62"/>
      <c r="G57" s="103"/>
      <c r="H57" s="104"/>
      <c r="I57" s="105"/>
      <c r="J57" s="106"/>
      <c r="K57" s="9"/>
      <c r="L57" s="69"/>
      <c r="M57" s="9"/>
    </row>
    <row r="58" spans="1:14" ht="15" x14ac:dyDescent="0.2">
      <c r="A58" s="36"/>
      <c r="B58" s="38"/>
      <c r="C58" s="38"/>
      <c r="D58" s="38"/>
      <c r="E58" s="38"/>
      <c r="F58" s="37"/>
      <c r="G58" s="38"/>
      <c r="H58" s="38"/>
      <c r="I58" s="38"/>
      <c r="J58" s="38"/>
      <c r="K58" s="39"/>
      <c r="L58" s="70"/>
      <c r="M58" s="58"/>
      <c r="N58" s="1"/>
    </row>
    <row r="59" spans="1:14" ht="15.75" customHeight="1" x14ac:dyDescent="0.15">
      <c r="A59" s="40"/>
      <c r="F59" s="40"/>
      <c r="K59" s="40"/>
      <c r="L59" s="41"/>
      <c r="M59" s="40"/>
    </row>
    <row r="60" spans="1:14" ht="15.75" customHeight="1" x14ac:dyDescent="0.15">
      <c r="A60" s="40"/>
      <c r="F60" s="40"/>
      <c r="G60" s="42"/>
      <c r="H60" s="42"/>
      <c r="I60" s="42"/>
      <c r="J60" s="42"/>
      <c r="K60" s="40"/>
      <c r="L60" s="42"/>
      <c r="M60" s="40"/>
    </row>
    <row r="61" spans="1:14" ht="15.75" customHeight="1" x14ac:dyDescent="0.15">
      <c r="A61" s="40"/>
      <c r="B61" s="42"/>
      <c r="C61" s="42"/>
      <c r="D61" s="42"/>
      <c r="E61" s="42"/>
      <c r="F61" s="40"/>
      <c r="G61" s="42"/>
      <c r="H61" s="42"/>
      <c r="I61" s="42"/>
      <c r="J61" s="42"/>
      <c r="K61" s="40"/>
      <c r="L61" s="42"/>
      <c r="M61" s="40"/>
    </row>
    <row r="62" spans="1:14" ht="15.75" customHeight="1" x14ac:dyDescent="0.15">
      <c r="A62" s="40"/>
      <c r="B62" s="42"/>
      <c r="C62" s="42"/>
      <c r="D62" s="42"/>
      <c r="E62" s="42"/>
      <c r="F62" s="40"/>
      <c r="G62" s="42"/>
      <c r="H62" s="42"/>
      <c r="I62" s="42"/>
      <c r="J62" s="42"/>
      <c r="K62" s="40"/>
      <c r="L62" s="42"/>
      <c r="M62" s="40"/>
    </row>
    <row r="63" spans="1:14" ht="15.75" customHeight="1" x14ac:dyDescent="0.15">
      <c r="A63" s="40"/>
      <c r="B63" s="42"/>
      <c r="C63" s="42"/>
      <c r="D63" s="42"/>
      <c r="E63" s="42"/>
      <c r="F63" s="40"/>
      <c r="G63" s="42"/>
      <c r="H63" s="42"/>
      <c r="I63" s="42"/>
      <c r="J63" s="42"/>
      <c r="K63" s="40"/>
      <c r="L63" s="42"/>
      <c r="M63" s="40"/>
    </row>
    <row r="64" spans="1:14" ht="15.75" customHeight="1" x14ac:dyDescent="0.15">
      <c r="A64" s="40"/>
      <c r="B64" s="42"/>
      <c r="C64" s="42"/>
      <c r="D64" s="42"/>
      <c r="E64" s="42"/>
      <c r="F64" s="40"/>
      <c r="G64" s="42"/>
      <c r="H64" s="42"/>
      <c r="I64" s="42"/>
      <c r="J64" s="42"/>
      <c r="K64" s="40"/>
      <c r="L64" s="42"/>
      <c r="M64" s="40"/>
    </row>
    <row r="65" spans="1:13" ht="15.75" customHeight="1" x14ac:dyDescent="0.15">
      <c r="A65" s="40"/>
      <c r="B65" s="42"/>
      <c r="C65" s="42"/>
      <c r="D65" s="42"/>
      <c r="E65" s="42"/>
      <c r="F65" s="40"/>
      <c r="G65" s="42"/>
      <c r="H65" s="42"/>
      <c r="I65" s="42"/>
      <c r="J65" s="42"/>
      <c r="K65" s="40"/>
      <c r="L65" s="42"/>
      <c r="M65" s="40"/>
    </row>
    <row r="66" spans="1:13" ht="15.75" customHeight="1" x14ac:dyDescent="0.15">
      <c r="A66" s="40"/>
      <c r="B66" s="42"/>
      <c r="C66" s="42"/>
      <c r="D66" s="42"/>
      <c r="E66" s="42"/>
      <c r="F66" s="40"/>
      <c r="G66" s="42"/>
      <c r="H66" s="42"/>
      <c r="I66" s="42"/>
      <c r="J66" s="42"/>
      <c r="K66" s="40"/>
      <c r="L66" s="42"/>
      <c r="M66" s="40"/>
    </row>
    <row r="67" spans="1:13" ht="15.75" customHeight="1" x14ac:dyDescent="0.15">
      <c r="A67" s="40"/>
      <c r="F67" s="40"/>
      <c r="G67" s="42"/>
      <c r="H67" s="42"/>
      <c r="I67" s="42"/>
      <c r="J67" s="42"/>
      <c r="K67" s="40"/>
      <c r="L67" s="42"/>
      <c r="M67" s="40"/>
    </row>
    <row r="68" spans="1:13" ht="15.75" customHeight="1" x14ac:dyDescent="0.15">
      <c r="A68" s="40"/>
      <c r="F68" s="40"/>
      <c r="G68" s="42"/>
      <c r="H68" s="42"/>
      <c r="I68" s="42"/>
      <c r="J68" s="42"/>
      <c r="K68" s="40"/>
      <c r="L68" s="42"/>
      <c r="M68" s="40"/>
    </row>
    <row r="69" spans="1:13" ht="15.75" customHeight="1" x14ac:dyDescent="0.15">
      <c r="A69" s="40"/>
      <c r="F69" s="40"/>
      <c r="G69" s="42"/>
      <c r="H69" s="42"/>
      <c r="I69" s="42"/>
      <c r="J69" s="42"/>
      <c r="K69" s="40"/>
      <c r="L69" s="42"/>
      <c r="M69" s="40"/>
    </row>
    <row r="70" spans="1:13" ht="15.75" customHeight="1" x14ac:dyDescent="0.15">
      <c r="A70" s="40"/>
      <c r="F70" s="40"/>
      <c r="G70" s="42"/>
      <c r="H70" s="42"/>
      <c r="I70" s="42"/>
      <c r="J70" s="42"/>
      <c r="K70" s="40"/>
      <c r="L70" s="42"/>
      <c r="M70" s="40"/>
    </row>
    <row r="71" spans="1:13" ht="15.75" customHeight="1" x14ac:dyDescent="0.15">
      <c r="A71" s="40"/>
      <c r="F71" s="40"/>
      <c r="G71" s="42"/>
      <c r="H71" s="42"/>
      <c r="I71" s="42"/>
      <c r="J71" s="42"/>
      <c r="K71" s="40"/>
      <c r="L71" s="42"/>
      <c r="M71" s="40"/>
    </row>
    <row r="72" spans="1:13" ht="15.75" customHeight="1" x14ac:dyDescent="0.15">
      <c r="A72" s="40"/>
      <c r="F72" s="40"/>
      <c r="G72" s="42"/>
      <c r="H72" s="42"/>
      <c r="I72" s="42"/>
      <c r="J72" s="42"/>
      <c r="K72" s="40"/>
      <c r="L72" s="42"/>
      <c r="M72" s="40"/>
    </row>
    <row r="73" spans="1:13" ht="15.75" customHeight="1" x14ac:dyDescent="0.15">
      <c r="A73" s="40"/>
      <c r="F73" s="40"/>
      <c r="G73" s="42"/>
      <c r="H73" s="42"/>
      <c r="I73" s="42"/>
      <c r="J73" s="42"/>
      <c r="K73" s="40"/>
      <c r="L73" s="42"/>
      <c r="M73" s="40"/>
    </row>
    <row r="74" spans="1:13" ht="15.75" customHeight="1" x14ac:dyDescent="0.15">
      <c r="A74" s="40"/>
      <c r="F74" s="40"/>
      <c r="G74" s="42"/>
      <c r="H74" s="42"/>
      <c r="I74" s="42"/>
      <c r="J74" s="42"/>
      <c r="K74" s="40"/>
      <c r="L74" s="42"/>
      <c r="M74" s="40"/>
    </row>
    <row r="75" spans="1:13" ht="15.75" customHeight="1" x14ac:dyDescent="0.15">
      <c r="A75" s="40"/>
      <c r="F75" s="40"/>
      <c r="G75" s="42"/>
      <c r="H75" s="42"/>
      <c r="I75" s="42"/>
      <c r="J75" s="42"/>
      <c r="K75" s="40"/>
      <c r="L75" s="42"/>
      <c r="M75" s="40"/>
    </row>
    <row r="76" spans="1:13" ht="15.75" customHeight="1" x14ac:dyDescent="0.15">
      <c r="A76" s="40"/>
      <c r="F76" s="40"/>
      <c r="G76" s="42"/>
      <c r="H76" s="42"/>
      <c r="I76" s="42"/>
      <c r="J76" s="42"/>
      <c r="K76" s="40"/>
      <c r="L76" s="42"/>
      <c r="M76" s="40"/>
    </row>
    <row r="77" spans="1:13" ht="15.75" customHeight="1" x14ac:dyDescent="0.15">
      <c r="A77" s="40"/>
      <c r="F77" s="40"/>
      <c r="G77" s="42"/>
      <c r="H77" s="42"/>
      <c r="I77" s="42"/>
      <c r="J77" s="42"/>
      <c r="K77" s="40"/>
      <c r="L77" s="42"/>
      <c r="M77" s="40"/>
    </row>
    <row r="78" spans="1:13" ht="15.75" customHeight="1" x14ac:dyDescent="0.15">
      <c r="A78" s="40"/>
      <c r="F78" s="40"/>
      <c r="G78" s="42"/>
      <c r="H78" s="42"/>
      <c r="I78" s="42"/>
      <c r="J78" s="42"/>
      <c r="K78" s="40"/>
      <c r="L78" s="42"/>
      <c r="M78" s="40"/>
    </row>
    <row r="79" spans="1:13" ht="15.75" customHeight="1" x14ac:dyDescent="0.15">
      <c r="A79" s="40"/>
      <c r="F79" s="40"/>
      <c r="G79" s="42"/>
      <c r="H79" s="42"/>
      <c r="I79" s="42"/>
      <c r="J79" s="42"/>
      <c r="K79" s="40"/>
      <c r="L79" s="42"/>
      <c r="M79" s="40"/>
    </row>
    <row r="80" spans="1:13" ht="15.75" customHeight="1" x14ac:dyDescent="0.15">
      <c r="A80" s="40"/>
      <c r="F80" s="40"/>
      <c r="G80" s="42"/>
      <c r="H80" s="42"/>
      <c r="I80" s="42"/>
      <c r="J80" s="42"/>
      <c r="K80" s="40"/>
      <c r="L80" s="42"/>
      <c r="M80" s="40"/>
    </row>
    <row r="81" spans="1:13" ht="15.75" customHeight="1" x14ac:dyDescent="0.15">
      <c r="A81" s="40"/>
      <c r="F81" s="40"/>
      <c r="G81" s="42"/>
      <c r="H81" s="42"/>
      <c r="I81" s="42"/>
      <c r="J81" s="42"/>
      <c r="K81" s="40"/>
      <c r="L81" s="42"/>
      <c r="M81" s="40"/>
    </row>
    <row r="82" spans="1:13" ht="15.75" customHeight="1" x14ac:dyDescent="0.15">
      <c r="A82" s="40"/>
      <c r="F82" s="40"/>
      <c r="G82" s="42"/>
      <c r="H82" s="42"/>
      <c r="I82" s="42"/>
      <c r="J82" s="42"/>
      <c r="K82" s="40"/>
      <c r="L82" s="42"/>
      <c r="M82" s="40"/>
    </row>
    <row r="83" spans="1:13" ht="15.75" customHeight="1" x14ac:dyDescent="0.15">
      <c r="A83" s="40"/>
      <c r="F83" s="40"/>
      <c r="G83" s="42"/>
      <c r="H83" s="42"/>
      <c r="I83" s="42"/>
      <c r="J83" s="42"/>
      <c r="K83" s="40"/>
      <c r="L83" s="42"/>
      <c r="M83" s="40"/>
    </row>
    <row r="84" spans="1:13" ht="15.75" customHeight="1" x14ac:dyDescent="0.15">
      <c r="A84" s="40"/>
      <c r="F84" s="40"/>
      <c r="G84" s="42"/>
      <c r="H84" s="42"/>
      <c r="I84" s="42"/>
      <c r="J84" s="42"/>
      <c r="K84" s="40"/>
      <c r="L84" s="42"/>
      <c r="M84" s="40"/>
    </row>
    <row r="85" spans="1:13" ht="15.75" customHeight="1" x14ac:dyDescent="0.15">
      <c r="A85" s="40"/>
      <c r="F85" s="40"/>
      <c r="G85" s="42"/>
      <c r="H85" s="42"/>
      <c r="I85" s="42"/>
      <c r="J85" s="42"/>
      <c r="K85" s="40"/>
      <c r="L85" s="42"/>
      <c r="M85" s="40"/>
    </row>
    <row r="86" spans="1:13" ht="15.75" customHeight="1" x14ac:dyDescent="0.15">
      <c r="A86" s="40"/>
      <c r="F86" s="40"/>
      <c r="G86" s="42"/>
      <c r="H86" s="42"/>
      <c r="I86" s="42"/>
      <c r="J86" s="42"/>
      <c r="K86" s="40"/>
      <c r="L86" s="42"/>
      <c r="M86" s="40"/>
    </row>
    <row r="87" spans="1:13" ht="15.75" customHeight="1" x14ac:dyDescent="0.15">
      <c r="A87" s="40"/>
      <c r="F87" s="40"/>
      <c r="G87" s="42"/>
      <c r="H87" s="42"/>
      <c r="I87" s="42"/>
      <c r="J87" s="42"/>
      <c r="K87" s="40"/>
      <c r="L87" s="42"/>
      <c r="M87" s="40"/>
    </row>
    <row r="88" spans="1:13" ht="15.75" customHeight="1" x14ac:dyDescent="0.15">
      <c r="A88" s="40"/>
      <c r="F88" s="40"/>
      <c r="G88" s="42"/>
      <c r="H88" s="42"/>
      <c r="I88" s="42"/>
      <c r="J88" s="42"/>
      <c r="K88" s="40"/>
      <c r="L88" s="42"/>
      <c r="M88" s="40"/>
    </row>
    <row r="89" spans="1:13" ht="15.75" customHeight="1" x14ac:dyDescent="0.15">
      <c r="A89" s="40"/>
      <c r="F89" s="40"/>
      <c r="G89" s="42"/>
      <c r="H89" s="42"/>
      <c r="I89" s="42"/>
      <c r="J89" s="42"/>
      <c r="K89" s="40"/>
      <c r="L89" s="42"/>
      <c r="M89" s="40"/>
    </row>
    <row r="90" spans="1:13" ht="15.75" customHeight="1" x14ac:dyDescent="0.15">
      <c r="A90" s="40"/>
      <c r="F90" s="40"/>
      <c r="G90" s="42"/>
      <c r="H90" s="42"/>
      <c r="I90" s="42"/>
      <c r="J90" s="42"/>
      <c r="K90" s="40"/>
      <c r="L90" s="42"/>
      <c r="M90" s="40"/>
    </row>
    <row r="91" spans="1:13" ht="15.75" customHeight="1" x14ac:dyDescent="0.15">
      <c r="A91" s="40"/>
      <c r="F91" s="40"/>
      <c r="G91" s="42"/>
      <c r="H91" s="42"/>
      <c r="I91" s="42"/>
      <c r="J91" s="42"/>
      <c r="K91" s="40"/>
      <c r="L91" s="42"/>
      <c r="M91" s="40"/>
    </row>
    <row r="92" spans="1:13" ht="15.75" customHeight="1" x14ac:dyDescent="0.15">
      <c r="A92" s="40"/>
      <c r="F92" s="40"/>
      <c r="G92" s="42"/>
      <c r="H92" s="42"/>
      <c r="I92" s="42"/>
      <c r="J92" s="42"/>
      <c r="K92" s="40"/>
      <c r="L92" s="42"/>
      <c r="M92" s="40"/>
    </row>
    <row r="93" spans="1:13" ht="15.75" customHeight="1" x14ac:dyDescent="0.15">
      <c r="A93" s="40"/>
      <c r="F93" s="40"/>
      <c r="G93" s="42"/>
      <c r="H93" s="42"/>
      <c r="I93" s="42"/>
      <c r="J93" s="42"/>
      <c r="K93" s="40"/>
      <c r="L93" s="42"/>
      <c r="M93" s="40"/>
    </row>
    <row r="94" spans="1:13" ht="15.75" customHeight="1" x14ac:dyDescent="0.15">
      <c r="A94" s="40"/>
      <c r="F94" s="40"/>
      <c r="G94" s="42"/>
      <c r="H94" s="42"/>
      <c r="I94" s="42"/>
      <c r="J94" s="42"/>
      <c r="K94" s="40"/>
      <c r="L94" s="42"/>
      <c r="M94" s="40"/>
    </row>
    <row r="95" spans="1:13" ht="15.75" customHeight="1" x14ac:dyDescent="0.15">
      <c r="A95" s="40"/>
      <c r="F95" s="40"/>
      <c r="G95" s="42"/>
      <c r="H95" s="42"/>
      <c r="I95" s="42"/>
      <c r="J95" s="42"/>
      <c r="K95" s="40"/>
      <c r="L95" s="42"/>
      <c r="M95" s="40"/>
    </row>
    <row r="96" spans="1:13" ht="15.75" customHeight="1" x14ac:dyDescent="0.15">
      <c r="A96" s="40"/>
      <c r="F96" s="40"/>
      <c r="G96" s="42"/>
      <c r="H96" s="42"/>
      <c r="I96" s="42"/>
      <c r="J96" s="42"/>
      <c r="K96" s="40"/>
      <c r="L96" s="42"/>
      <c r="M96" s="40"/>
    </row>
    <row r="97" spans="1:13" ht="15.75" customHeight="1" x14ac:dyDescent="0.15">
      <c r="A97" s="40"/>
      <c r="F97" s="40"/>
      <c r="G97" s="42"/>
      <c r="H97" s="42"/>
      <c r="I97" s="42"/>
      <c r="J97" s="42"/>
      <c r="K97" s="40"/>
      <c r="L97" s="42"/>
      <c r="M97" s="40"/>
    </row>
    <row r="98" spans="1:13" ht="15.75" customHeight="1" x14ac:dyDescent="0.15">
      <c r="A98" s="40"/>
      <c r="F98" s="40"/>
      <c r="G98" s="42"/>
      <c r="H98" s="42"/>
      <c r="I98" s="42"/>
      <c r="J98" s="42"/>
      <c r="K98" s="40"/>
      <c r="L98" s="42"/>
      <c r="M98" s="40"/>
    </row>
    <row r="99" spans="1:13" ht="15.75" customHeight="1" x14ac:dyDescent="0.15">
      <c r="A99" s="40"/>
      <c r="F99" s="40"/>
      <c r="G99" s="42"/>
      <c r="H99" s="42"/>
      <c r="I99" s="42"/>
      <c r="J99" s="42"/>
      <c r="K99" s="40"/>
      <c r="L99" s="42"/>
      <c r="M99" s="40"/>
    </row>
    <row r="100" spans="1:13" ht="15.75" customHeight="1" x14ac:dyDescent="0.15">
      <c r="A100" s="40"/>
      <c r="F100" s="40"/>
      <c r="G100" s="42"/>
      <c r="H100" s="42"/>
      <c r="I100" s="42"/>
      <c r="J100" s="42"/>
      <c r="K100" s="40"/>
      <c r="L100" s="42"/>
      <c r="M100" s="40"/>
    </row>
    <row r="101" spans="1:13" ht="15.75" customHeight="1" x14ac:dyDescent="0.15">
      <c r="A101" s="40"/>
      <c r="F101" s="40"/>
      <c r="G101" s="42"/>
      <c r="H101" s="42"/>
      <c r="I101" s="42"/>
      <c r="J101" s="42"/>
      <c r="K101" s="40"/>
      <c r="L101" s="42"/>
      <c r="M101" s="40"/>
    </row>
    <row r="102" spans="1:13" ht="15.75" customHeight="1" x14ac:dyDescent="0.15">
      <c r="A102" s="40"/>
      <c r="F102" s="40"/>
      <c r="G102" s="42"/>
      <c r="H102" s="42"/>
      <c r="I102" s="42"/>
      <c r="J102" s="42"/>
      <c r="K102" s="40"/>
      <c r="L102" s="42"/>
      <c r="M102" s="40"/>
    </row>
    <row r="103" spans="1:13" ht="15.75" customHeight="1" x14ac:dyDescent="0.15">
      <c r="A103" s="40"/>
      <c r="F103" s="40"/>
      <c r="G103" s="42"/>
      <c r="H103" s="42"/>
      <c r="I103" s="42"/>
      <c r="J103" s="42"/>
      <c r="K103" s="40"/>
      <c r="L103" s="42"/>
      <c r="M103" s="40"/>
    </row>
    <row r="104" spans="1:13" ht="15.75" customHeight="1" x14ac:dyDescent="0.15">
      <c r="A104" s="40"/>
      <c r="F104" s="40"/>
      <c r="G104" s="42"/>
      <c r="H104" s="42"/>
      <c r="I104" s="42"/>
      <c r="J104" s="42"/>
      <c r="K104" s="40"/>
      <c r="L104" s="42"/>
      <c r="M104" s="40"/>
    </row>
    <row r="105" spans="1:13" ht="15.75" customHeight="1" x14ac:dyDescent="0.15">
      <c r="A105" s="40"/>
      <c r="F105" s="40"/>
      <c r="G105" s="42"/>
      <c r="H105" s="42"/>
      <c r="I105" s="42"/>
      <c r="J105" s="42"/>
      <c r="K105" s="40"/>
      <c r="L105" s="42"/>
      <c r="M105" s="40"/>
    </row>
    <row r="106" spans="1:13" ht="15.75" customHeight="1" x14ac:dyDescent="0.15">
      <c r="A106" s="40"/>
      <c r="F106" s="40"/>
      <c r="G106" s="42"/>
      <c r="H106" s="42"/>
      <c r="I106" s="42"/>
      <c r="J106" s="42"/>
      <c r="K106" s="40"/>
      <c r="L106" s="42"/>
      <c r="M106" s="40"/>
    </row>
    <row r="107" spans="1:13" ht="15.75" customHeight="1" x14ac:dyDescent="0.15">
      <c r="A107" s="40"/>
      <c r="F107" s="40"/>
      <c r="G107" s="42"/>
      <c r="H107" s="42"/>
      <c r="I107" s="42"/>
      <c r="J107" s="42"/>
      <c r="K107" s="40"/>
      <c r="L107" s="42"/>
      <c r="M107" s="40"/>
    </row>
    <row r="108" spans="1:13" ht="15.75" customHeight="1" x14ac:dyDescent="0.15">
      <c r="A108" s="40"/>
      <c r="F108" s="40"/>
      <c r="G108" s="42"/>
      <c r="H108" s="42"/>
      <c r="I108" s="42"/>
      <c r="J108" s="42"/>
      <c r="K108" s="40"/>
      <c r="L108" s="42"/>
      <c r="M108" s="40"/>
    </row>
    <row r="109" spans="1:13" ht="15.75" customHeight="1" x14ac:dyDescent="0.15">
      <c r="A109" s="40"/>
      <c r="F109" s="40"/>
      <c r="G109" s="42"/>
      <c r="H109" s="42"/>
      <c r="I109" s="42"/>
      <c r="J109" s="42"/>
      <c r="K109" s="40"/>
      <c r="L109" s="42"/>
      <c r="M109" s="40"/>
    </row>
    <row r="110" spans="1:13" ht="15.75" customHeight="1" x14ac:dyDescent="0.15">
      <c r="A110" s="40"/>
      <c r="F110" s="40"/>
      <c r="G110" s="42"/>
      <c r="H110" s="42"/>
      <c r="I110" s="42"/>
      <c r="J110" s="42"/>
      <c r="K110" s="40"/>
      <c r="L110" s="42"/>
      <c r="M110" s="40"/>
    </row>
    <row r="111" spans="1:13" ht="15.75" customHeight="1" x14ac:dyDescent="0.15">
      <c r="A111" s="40"/>
      <c r="F111" s="40"/>
      <c r="G111" s="42"/>
      <c r="H111" s="42"/>
      <c r="I111" s="42"/>
      <c r="J111" s="42"/>
      <c r="K111" s="40"/>
      <c r="L111" s="42"/>
      <c r="M111" s="40"/>
    </row>
    <row r="112" spans="1:13" ht="15.75" customHeight="1" x14ac:dyDescent="0.15">
      <c r="A112" s="40"/>
      <c r="F112" s="40"/>
      <c r="G112" s="42"/>
      <c r="H112" s="42"/>
      <c r="I112" s="42"/>
      <c r="J112" s="42"/>
      <c r="K112" s="40"/>
      <c r="L112" s="42"/>
      <c r="M112" s="40"/>
    </row>
    <row r="113" spans="1:13" ht="15.75" customHeight="1" x14ac:dyDescent="0.15">
      <c r="A113" s="40"/>
      <c r="F113" s="40"/>
      <c r="G113" s="42"/>
      <c r="H113" s="42"/>
      <c r="I113" s="42"/>
      <c r="J113" s="42"/>
      <c r="K113" s="40"/>
      <c r="L113" s="42"/>
      <c r="M113" s="40"/>
    </row>
    <row r="114" spans="1:13" ht="15.75" customHeight="1" x14ac:dyDescent="0.15">
      <c r="A114" s="40"/>
      <c r="F114" s="40"/>
      <c r="G114" s="42"/>
      <c r="H114" s="42"/>
      <c r="I114" s="42"/>
      <c r="J114" s="42"/>
      <c r="K114" s="40"/>
      <c r="L114" s="42"/>
      <c r="M114" s="40"/>
    </row>
    <row r="115" spans="1:13" ht="15.75" customHeight="1" x14ac:dyDescent="0.15">
      <c r="A115" s="40"/>
      <c r="F115" s="40"/>
      <c r="G115" s="42"/>
      <c r="H115" s="42"/>
      <c r="I115" s="42"/>
      <c r="J115" s="42"/>
      <c r="K115" s="40"/>
      <c r="L115" s="42"/>
      <c r="M115" s="40"/>
    </row>
    <row r="116" spans="1:13" ht="15.75" customHeight="1" x14ac:dyDescent="0.15">
      <c r="A116" s="40"/>
      <c r="F116" s="40"/>
      <c r="G116" s="42"/>
      <c r="H116" s="42"/>
      <c r="I116" s="42"/>
      <c r="J116" s="42"/>
      <c r="K116" s="40"/>
      <c r="L116" s="42"/>
      <c r="M116" s="40"/>
    </row>
    <row r="117" spans="1:13" ht="15.75" customHeight="1" x14ac:dyDescent="0.15">
      <c r="A117" s="40"/>
      <c r="F117" s="40"/>
      <c r="G117" s="42"/>
      <c r="H117" s="42"/>
      <c r="I117" s="42"/>
      <c r="J117" s="42"/>
      <c r="K117" s="40"/>
      <c r="L117" s="42"/>
      <c r="M117" s="40"/>
    </row>
    <row r="118" spans="1:13" ht="15.75" customHeight="1" x14ac:dyDescent="0.15">
      <c r="A118" s="40"/>
      <c r="F118" s="40"/>
      <c r="G118" s="42"/>
      <c r="H118" s="42"/>
      <c r="I118" s="42"/>
      <c r="J118" s="42"/>
      <c r="K118" s="40"/>
      <c r="L118" s="42"/>
      <c r="M118" s="40"/>
    </row>
    <row r="119" spans="1:13" ht="15.75" customHeight="1" x14ac:dyDescent="0.15">
      <c r="A119" s="40"/>
      <c r="F119" s="40"/>
      <c r="G119" s="42"/>
      <c r="H119" s="42"/>
      <c r="I119" s="42"/>
      <c r="J119" s="42"/>
      <c r="K119" s="40"/>
      <c r="L119" s="42"/>
      <c r="M119" s="40"/>
    </row>
    <row r="120" spans="1:13" ht="15.75" customHeight="1" x14ac:dyDescent="0.15">
      <c r="A120" s="40"/>
      <c r="F120" s="40"/>
      <c r="G120" s="42"/>
      <c r="H120" s="42"/>
      <c r="I120" s="42"/>
      <c r="J120" s="42"/>
      <c r="K120" s="40"/>
      <c r="L120" s="42"/>
      <c r="M120" s="40"/>
    </row>
    <row r="121" spans="1:13" ht="15.75" customHeight="1" x14ac:dyDescent="0.15">
      <c r="A121" s="40"/>
      <c r="F121" s="40"/>
      <c r="G121" s="42"/>
      <c r="H121" s="42"/>
      <c r="I121" s="42"/>
      <c r="J121" s="42"/>
      <c r="K121" s="40"/>
      <c r="L121" s="42"/>
      <c r="M121" s="40"/>
    </row>
    <row r="122" spans="1:13" ht="15.75" customHeight="1" x14ac:dyDescent="0.15">
      <c r="A122" s="40"/>
      <c r="F122" s="40"/>
      <c r="G122" s="42"/>
      <c r="H122" s="42"/>
      <c r="I122" s="42"/>
      <c r="J122" s="42"/>
      <c r="K122" s="40"/>
      <c r="L122" s="42"/>
      <c r="M122" s="40"/>
    </row>
    <row r="123" spans="1:13" ht="15.75" customHeight="1" x14ac:dyDescent="0.15">
      <c r="A123" s="40"/>
      <c r="F123" s="40"/>
      <c r="G123" s="42"/>
      <c r="H123" s="42"/>
      <c r="I123" s="42"/>
      <c r="J123" s="42"/>
      <c r="K123" s="40"/>
      <c r="L123" s="42"/>
      <c r="M123" s="40"/>
    </row>
    <row r="124" spans="1:13" ht="15.75" customHeight="1" x14ac:dyDescent="0.15">
      <c r="A124" s="40"/>
      <c r="F124" s="40"/>
      <c r="G124" s="42"/>
      <c r="H124" s="42"/>
      <c r="I124" s="42"/>
      <c r="J124" s="42"/>
      <c r="K124" s="40"/>
      <c r="L124" s="42"/>
      <c r="M124" s="40"/>
    </row>
    <row r="125" spans="1:13" ht="15.75" customHeight="1" x14ac:dyDescent="0.15">
      <c r="A125" s="40"/>
      <c r="F125" s="40"/>
      <c r="G125" s="42"/>
      <c r="H125" s="42"/>
      <c r="I125" s="42"/>
      <c r="J125" s="42"/>
      <c r="K125" s="40"/>
      <c r="L125" s="42"/>
      <c r="M125" s="40"/>
    </row>
    <row r="126" spans="1:13" ht="15.75" customHeight="1" x14ac:dyDescent="0.15">
      <c r="A126" s="40"/>
      <c r="F126" s="40"/>
      <c r="G126" s="42"/>
      <c r="H126" s="42"/>
      <c r="I126" s="42"/>
      <c r="J126" s="42"/>
      <c r="K126" s="40"/>
      <c r="L126" s="42"/>
      <c r="M126" s="40"/>
    </row>
    <row r="127" spans="1:13" ht="15.75" customHeight="1" x14ac:dyDescent="0.15">
      <c r="A127" s="40"/>
      <c r="F127" s="40"/>
      <c r="G127" s="42"/>
      <c r="H127" s="42"/>
      <c r="I127" s="42"/>
      <c r="J127" s="42"/>
      <c r="K127" s="40"/>
      <c r="L127" s="42"/>
      <c r="M127" s="40"/>
    </row>
    <row r="128" spans="1:13" ht="15.75" customHeight="1" x14ac:dyDescent="0.15">
      <c r="A128" s="40"/>
      <c r="F128" s="40"/>
      <c r="G128" s="42"/>
      <c r="H128" s="42"/>
      <c r="I128" s="42"/>
      <c r="J128" s="42"/>
      <c r="K128" s="40"/>
      <c r="L128" s="42"/>
      <c r="M128" s="40"/>
    </row>
    <row r="129" spans="1:13" ht="15.75" customHeight="1" x14ac:dyDescent="0.15">
      <c r="A129" s="40"/>
      <c r="F129" s="40"/>
      <c r="G129" s="42"/>
      <c r="H129" s="42"/>
      <c r="I129" s="42"/>
      <c r="J129" s="42"/>
      <c r="K129" s="40"/>
      <c r="L129" s="42"/>
      <c r="M129" s="40"/>
    </row>
    <row r="130" spans="1:13" ht="15.75" customHeight="1" x14ac:dyDescent="0.15">
      <c r="A130" s="40"/>
      <c r="F130" s="40"/>
      <c r="G130" s="42"/>
      <c r="H130" s="42"/>
      <c r="I130" s="42"/>
      <c r="J130" s="42"/>
      <c r="K130" s="40"/>
      <c r="L130" s="42"/>
      <c r="M130" s="40"/>
    </row>
    <row r="131" spans="1:13" ht="15.75" customHeight="1" x14ac:dyDescent="0.15">
      <c r="A131" s="40"/>
      <c r="F131" s="40"/>
      <c r="G131" s="42"/>
      <c r="H131" s="42"/>
      <c r="I131" s="42"/>
      <c r="J131" s="42"/>
      <c r="K131" s="40"/>
      <c r="L131" s="42"/>
      <c r="M131" s="40"/>
    </row>
    <row r="132" spans="1:13" ht="15.75" customHeight="1" x14ac:dyDescent="0.15">
      <c r="A132" s="40"/>
      <c r="F132" s="40"/>
      <c r="G132" s="42"/>
      <c r="H132" s="42"/>
      <c r="I132" s="42"/>
      <c r="J132" s="42"/>
      <c r="K132" s="40"/>
      <c r="L132" s="42"/>
      <c r="M132" s="40"/>
    </row>
    <row r="133" spans="1:13" ht="15.75" customHeight="1" x14ac:dyDescent="0.15">
      <c r="A133" s="40"/>
      <c r="F133" s="40"/>
      <c r="G133" s="42"/>
      <c r="H133" s="42"/>
      <c r="I133" s="42"/>
      <c r="J133" s="42"/>
      <c r="K133" s="40"/>
      <c r="L133" s="42"/>
      <c r="M133" s="40"/>
    </row>
    <row r="134" spans="1:13" ht="15.75" customHeight="1" x14ac:dyDescent="0.15">
      <c r="A134" s="40"/>
      <c r="F134" s="40"/>
      <c r="G134" s="42"/>
      <c r="H134" s="42"/>
      <c r="I134" s="42"/>
      <c r="J134" s="42"/>
      <c r="K134" s="40"/>
      <c r="L134" s="42"/>
      <c r="M134" s="40"/>
    </row>
    <row r="135" spans="1:13" ht="15.75" customHeight="1" x14ac:dyDescent="0.15">
      <c r="A135" s="40"/>
      <c r="F135" s="40"/>
      <c r="G135" s="42"/>
      <c r="H135" s="42"/>
      <c r="I135" s="42"/>
      <c r="J135" s="42"/>
      <c r="K135" s="40"/>
      <c r="L135" s="42"/>
      <c r="M135" s="40"/>
    </row>
    <row r="136" spans="1:13" ht="15.75" customHeight="1" x14ac:dyDescent="0.15">
      <c r="A136" s="40"/>
      <c r="F136" s="40"/>
      <c r="G136" s="42"/>
      <c r="H136" s="42"/>
      <c r="I136" s="42"/>
      <c r="J136" s="42"/>
      <c r="K136" s="40"/>
      <c r="L136" s="42"/>
      <c r="M136" s="40"/>
    </row>
    <row r="137" spans="1:13" ht="15.75" customHeight="1" x14ac:dyDescent="0.15">
      <c r="A137" s="40"/>
      <c r="F137" s="40"/>
      <c r="G137" s="42"/>
      <c r="H137" s="42"/>
      <c r="I137" s="42"/>
      <c r="J137" s="42"/>
      <c r="K137" s="40"/>
      <c r="L137" s="42"/>
      <c r="M137" s="40"/>
    </row>
    <row r="138" spans="1:13" ht="15.75" customHeight="1" x14ac:dyDescent="0.15">
      <c r="A138" s="40"/>
      <c r="F138" s="40"/>
      <c r="G138" s="42"/>
      <c r="H138" s="42"/>
      <c r="I138" s="42"/>
      <c r="J138" s="42"/>
      <c r="K138" s="40"/>
      <c r="L138" s="42"/>
      <c r="M138" s="40"/>
    </row>
    <row r="139" spans="1:13" ht="15.75" customHeight="1" x14ac:dyDescent="0.15">
      <c r="A139" s="40"/>
      <c r="F139" s="40"/>
      <c r="G139" s="42"/>
      <c r="H139" s="42"/>
      <c r="I139" s="42"/>
      <c r="J139" s="42"/>
      <c r="K139" s="40"/>
      <c r="L139" s="42"/>
      <c r="M139" s="40"/>
    </row>
    <row r="140" spans="1:13" ht="15.75" customHeight="1" x14ac:dyDescent="0.15">
      <c r="A140" s="40"/>
      <c r="F140" s="40"/>
      <c r="G140" s="42"/>
      <c r="H140" s="42"/>
      <c r="I140" s="42"/>
      <c r="J140" s="42"/>
      <c r="K140" s="40"/>
      <c r="L140" s="42"/>
      <c r="M140" s="40"/>
    </row>
    <row r="141" spans="1:13" ht="15.75" customHeight="1" x14ac:dyDescent="0.15">
      <c r="A141" s="40"/>
      <c r="F141" s="40"/>
      <c r="G141" s="42"/>
      <c r="H141" s="42"/>
      <c r="I141" s="42"/>
      <c r="J141" s="42"/>
      <c r="K141" s="40"/>
      <c r="L141" s="42"/>
      <c r="M141" s="40"/>
    </row>
    <row r="142" spans="1:13" ht="15.75" customHeight="1" x14ac:dyDescent="0.15">
      <c r="A142" s="40"/>
      <c r="F142" s="40"/>
      <c r="G142" s="42"/>
      <c r="H142" s="42"/>
      <c r="I142" s="42"/>
      <c r="J142" s="42"/>
      <c r="K142" s="40"/>
      <c r="L142" s="42"/>
      <c r="M142" s="40"/>
    </row>
    <row r="143" spans="1:13" ht="15.75" customHeight="1" x14ac:dyDescent="0.15">
      <c r="A143" s="40"/>
      <c r="F143" s="40"/>
      <c r="G143" s="42"/>
      <c r="H143" s="42"/>
      <c r="I143" s="42"/>
      <c r="J143" s="42"/>
      <c r="K143" s="40"/>
      <c r="L143" s="42"/>
      <c r="M143" s="40"/>
    </row>
    <row r="144" spans="1:13" ht="15.75" customHeight="1" x14ac:dyDescent="0.15">
      <c r="A144" s="40"/>
      <c r="F144" s="40"/>
      <c r="G144" s="42"/>
      <c r="H144" s="42"/>
      <c r="I144" s="42"/>
      <c r="J144" s="42"/>
      <c r="K144" s="40"/>
      <c r="L144" s="42"/>
      <c r="M144" s="40"/>
    </row>
    <row r="145" spans="1:13" ht="15.75" customHeight="1" x14ac:dyDescent="0.15">
      <c r="A145" s="40"/>
      <c r="F145" s="40"/>
      <c r="G145" s="42"/>
      <c r="H145" s="42"/>
      <c r="I145" s="42"/>
      <c r="J145" s="42"/>
      <c r="K145" s="40"/>
      <c r="L145" s="42"/>
      <c r="M145" s="40"/>
    </row>
    <row r="146" spans="1:13" ht="15.75" customHeight="1" x14ac:dyDescent="0.15">
      <c r="A146" s="40"/>
      <c r="F146" s="40"/>
      <c r="G146" s="42"/>
      <c r="H146" s="42"/>
      <c r="I146" s="42"/>
      <c r="J146" s="42"/>
      <c r="K146" s="40"/>
      <c r="L146" s="42"/>
      <c r="M146" s="40"/>
    </row>
    <row r="147" spans="1:13" ht="15.75" customHeight="1" x14ac:dyDescent="0.15">
      <c r="A147" s="40"/>
      <c r="F147" s="40"/>
      <c r="G147" s="42"/>
      <c r="H147" s="42"/>
      <c r="I147" s="42"/>
      <c r="J147" s="42"/>
      <c r="K147" s="40"/>
      <c r="L147" s="42"/>
      <c r="M147" s="40"/>
    </row>
    <row r="148" spans="1:13" ht="15.75" customHeight="1" x14ac:dyDescent="0.15">
      <c r="A148" s="40"/>
      <c r="F148" s="40"/>
      <c r="G148" s="42"/>
      <c r="H148" s="42"/>
      <c r="I148" s="42"/>
      <c r="J148" s="42"/>
      <c r="K148" s="40"/>
      <c r="L148" s="42"/>
      <c r="M148" s="40"/>
    </row>
    <row r="149" spans="1:13" ht="15.75" customHeight="1" x14ac:dyDescent="0.15">
      <c r="A149" s="40"/>
      <c r="F149" s="40"/>
      <c r="G149" s="42"/>
      <c r="H149" s="42"/>
      <c r="I149" s="42"/>
      <c r="J149" s="42"/>
      <c r="K149" s="40"/>
      <c r="L149" s="42"/>
      <c r="M149" s="40"/>
    </row>
    <row r="150" spans="1:13" ht="15.75" customHeight="1" x14ac:dyDescent="0.15">
      <c r="A150" s="40"/>
      <c r="F150" s="40"/>
      <c r="G150" s="42"/>
      <c r="H150" s="42"/>
      <c r="I150" s="42"/>
      <c r="J150" s="42"/>
      <c r="K150" s="40"/>
      <c r="L150" s="42"/>
      <c r="M150" s="40"/>
    </row>
    <row r="151" spans="1:13" ht="15.75" customHeight="1" x14ac:dyDescent="0.15">
      <c r="A151" s="40"/>
      <c r="F151" s="40"/>
      <c r="G151" s="42"/>
      <c r="H151" s="42"/>
      <c r="I151" s="42"/>
      <c r="J151" s="42"/>
      <c r="K151" s="40"/>
      <c r="L151" s="42"/>
      <c r="M151" s="40"/>
    </row>
    <row r="152" spans="1:13" ht="15.75" customHeight="1" x14ac:dyDescent="0.15">
      <c r="A152" s="40"/>
      <c r="F152" s="40"/>
      <c r="G152" s="42"/>
      <c r="H152" s="42"/>
      <c r="I152" s="42"/>
      <c r="J152" s="42"/>
      <c r="K152" s="40"/>
      <c r="L152" s="42"/>
      <c r="M152" s="40"/>
    </row>
    <row r="153" spans="1:13" ht="15.75" customHeight="1" x14ac:dyDescent="0.15">
      <c r="A153" s="40"/>
      <c r="F153" s="40"/>
      <c r="G153" s="42"/>
      <c r="H153" s="42"/>
      <c r="I153" s="42"/>
      <c r="J153" s="42"/>
      <c r="K153" s="40"/>
      <c r="L153" s="42"/>
      <c r="M153" s="40"/>
    </row>
    <row r="154" spans="1:13" ht="15.75" customHeight="1" x14ac:dyDescent="0.15">
      <c r="A154" s="40"/>
      <c r="F154" s="40"/>
      <c r="G154" s="42"/>
      <c r="H154" s="42"/>
      <c r="I154" s="42"/>
      <c r="J154" s="42"/>
      <c r="K154" s="40"/>
      <c r="L154" s="42"/>
      <c r="M154" s="40"/>
    </row>
    <row r="155" spans="1:13" ht="15.75" customHeight="1" x14ac:dyDescent="0.15">
      <c r="A155" s="40"/>
      <c r="F155" s="40"/>
      <c r="G155" s="42"/>
      <c r="H155" s="42"/>
      <c r="I155" s="42"/>
      <c r="J155" s="42"/>
      <c r="K155" s="40"/>
      <c r="L155" s="42"/>
      <c r="M155" s="40"/>
    </row>
    <row r="156" spans="1:13" ht="15.75" customHeight="1" x14ac:dyDescent="0.15">
      <c r="A156" s="40"/>
      <c r="F156" s="40"/>
      <c r="G156" s="42"/>
      <c r="H156" s="42"/>
      <c r="I156" s="42"/>
      <c r="J156" s="42"/>
      <c r="K156" s="40"/>
      <c r="L156" s="42"/>
      <c r="M156" s="40"/>
    </row>
    <row r="157" spans="1:13" ht="15.75" customHeight="1" x14ac:dyDescent="0.15">
      <c r="A157" s="40"/>
      <c r="F157" s="40"/>
      <c r="G157" s="42"/>
      <c r="H157" s="42"/>
      <c r="I157" s="42"/>
      <c r="J157" s="42"/>
      <c r="K157" s="40"/>
      <c r="L157" s="42"/>
      <c r="M157" s="40"/>
    </row>
    <row r="158" spans="1:13" ht="15.75" customHeight="1" x14ac:dyDescent="0.15">
      <c r="A158" s="40"/>
      <c r="F158" s="40"/>
      <c r="G158" s="42"/>
      <c r="H158" s="42"/>
      <c r="I158" s="42"/>
      <c r="J158" s="42"/>
      <c r="K158" s="40"/>
      <c r="L158" s="42"/>
      <c r="M158" s="40"/>
    </row>
    <row r="159" spans="1:13" ht="15.75" customHeight="1" x14ac:dyDescent="0.15">
      <c r="A159" s="40"/>
      <c r="F159" s="40"/>
      <c r="G159" s="42"/>
      <c r="H159" s="42"/>
      <c r="I159" s="42"/>
      <c r="J159" s="42"/>
      <c r="K159" s="40"/>
      <c r="L159" s="42"/>
      <c r="M159" s="40"/>
    </row>
    <row r="160" spans="1:13" ht="15.75" customHeight="1" x14ac:dyDescent="0.15">
      <c r="A160" s="40"/>
      <c r="F160" s="40"/>
      <c r="G160" s="42"/>
      <c r="H160" s="42"/>
      <c r="I160" s="42"/>
      <c r="J160" s="42"/>
      <c r="K160" s="40"/>
      <c r="L160" s="42"/>
      <c r="M160" s="40"/>
    </row>
    <row r="161" spans="1:13" ht="15.75" customHeight="1" x14ac:dyDescent="0.15">
      <c r="A161" s="40"/>
      <c r="F161" s="40"/>
      <c r="G161" s="42"/>
      <c r="H161" s="42"/>
      <c r="I161" s="42"/>
      <c r="J161" s="42"/>
      <c r="K161" s="40"/>
      <c r="L161" s="42"/>
      <c r="M161" s="40"/>
    </row>
    <row r="162" spans="1:13" ht="15.75" customHeight="1" x14ac:dyDescent="0.15">
      <c r="A162" s="40"/>
      <c r="F162" s="40"/>
      <c r="G162" s="42"/>
      <c r="H162" s="42"/>
      <c r="I162" s="42"/>
      <c r="J162" s="42"/>
      <c r="K162" s="40"/>
      <c r="L162" s="42"/>
      <c r="M162" s="40"/>
    </row>
    <row r="163" spans="1:13" ht="15.75" customHeight="1" x14ac:dyDescent="0.15">
      <c r="A163" s="40"/>
      <c r="F163" s="40"/>
      <c r="G163" s="42"/>
      <c r="H163" s="42"/>
      <c r="I163" s="42"/>
      <c r="J163" s="42"/>
      <c r="K163" s="40"/>
      <c r="L163" s="42"/>
      <c r="M163" s="40"/>
    </row>
    <row r="164" spans="1:13" ht="15.75" customHeight="1" x14ac:dyDescent="0.15">
      <c r="A164" s="40"/>
      <c r="F164" s="40"/>
      <c r="G164" s="42"/>
      <c r="H164" s="42"/>
      <c r="I164" s="42"/>
      <c r="J164" s="42"/>
      <c r="K164" s="40"/>
      <c r="L164" s="42"/>
      <c r="M164" s="40"/>
    </row>
    <row r="165" spans="1:13" ht="15.75" customHeight="1" x14ac:dyDescent="0.15">
      <c r="A165" s="40"/>
      <c r="F165" s="40"/>
      <c r="G165" s="42"/>
      <c r="H165" s="42"/>
      <c r="I165" s="42"/>
      <c r="J165" s="42"/>
      <c r="K165" s="40"/>
      <c r="L165" s="42"/>
      <c r="M165" s="40"/>
    </row>
    <row r="166" spans="1:13" ht="15.75" customHeight="1" x14ac:dyDescent="0.15">
      <c r="A166" s="40"/>
      <c r="F166" s="40"/>
      <c r="G166" s="42"/>
      <c r="H166" s="42"/>
      <c r="I166" s="42"/>
      <c r="J166" s="42"/>
      <c r="K166" s="40"/>
      <c r="L166" s="42"/>
      <c r="M166" s="40"/>
    </row>
    <row r="167" spans="1:13" ht="15.75" customHeight="1" x14ac:dyDescent="0.15">
      <c r="A167" s="40"/>
      <c r="F167" s="40"/>
      <c r="G167" s="42"/>
      <c r="H167" s="42"/>
      <c r="I167" s="42"/>
      <c r="J167" s="42"/>
      <c r="K167" s="40"/>
      <c r="L167" s="42"/>
      <c r="M167" s="40"/>
    </row>
    <row r="168" spans="1:13" ht="15.75" customHeight="1" x14ac:dyDescent="0.15">
      <c r="A168" s="40"/>
      <c r="F168" s="40"/>
      <c r="G168" s="42"/>
      <c r="H168" s="42"/>
      <c r="I168" s="42"/>
      <c r="J168" s="42"/>
      <c r="K168" s="40"/>
      <c r="L168" s="42"/>
      <c r="M168" s="40"/>
    </row>
    <row r="169" spans="1:13" ht="15.75" customHeight="1" x14ac:dyDescent="0.15">
      <c r="A169" s="40"/>
      <c r="F169" s="40"/>
      <c r="G169" s="42"/>
      <c r="H169" s="42"/>
      <c r="I169" s="42"/>
      <c r="J169" s="42"/>
      <c r="K169" s="40"/>
      <c r="L169" s="42"/>
      <c r="M169" s="40"/>
    </row>
    <row r="170" spans="1:13" ht="15.75" customHeight="1" x14ac:dyDescent="0.15">
      <c r="A170" s="40"/>
      <c r="F170" s="40"/>
      <c r="G170" s="42"/>
      <c r="H170" s="42"/>
      <c r="I170" s="42"/>
      <c r="J170" s="42"/>
      <c r="K170" s="40"/>
      <c r="L170" s="42"/>
      <c r="M170" s="40"/>
    </row>
    <row r="171" spans="1:13" ht="15.75" customHeight="1" x14ac:dyDescent="0.15">
      <c r="A171" s="40"/>
      <c r="F171" s="40"/>
      <c r="G171" s="42"/>
      <c r="H171" s="42"/>
      <c r="I171" s="42"/>
      <c r="J171" s="42"/>
      <c r="K171" s="40"/>
      <c r="L171" s="42"/>
      <c r="M171" s="40"/>
    </row>
    <row r="172" spans="1:13" ht="15.75" customHeight="1" x14ac:dyDescent="0.15">
      <c r="A172" s="40"/>
      <c r="F172" s="40"/>
      <c r="G172" s="42"/>
      <c r="H172" s="42"/>
      <c r="I172" s="42"/>
      <c r="J172" s="42"/>
      <c r="K172" s="40"/>
      <c r="L172" s="42"/>
      <c r="M172" s="40"/>
    </row>
    <row r="173" spans="1:13" ht="15.75" customHeight="1" x14ac:dyDescent="0.15">
      <c r="A173" s="40"/>
      <c r="F173" s="40"/>
      <c r="G173" s="42"/>
      <c r="H173" s="42"/>
      <c r="I173" s="42"/>
      <c r="J173" s="42"/>
      <c r="K173" s="40"/>
      <c r="L173" s="42"/>
      <c r="M173" s="40"/>
    </row>
    <row r="174" spans="1:13" ht="15.75" customHeight="1" x14ac:dyDescent="0.15">
      <c r="A174" s="40"/>
      <c r="F174" s="40"/>
      <c r="G174" s="42"/>
      <c r="H174" s="42"/>
      <c r="I174" s="42"/>
      <c r="J174" s="42"/>
      <c r="K174" s="40"/>
      <c r="L174" s="42"/>
      <c r="M174" s="40"/>
    </row>
    <row r="175" spans="1:13" ht="15.75" customHeight="1" x14ac:dyDescent="0.15">
      <c r="A175" s="40"/>
      <c r="F175" s="40"/>
      <c r="G175" s="42"/>
      <c r="H175" s="42"/>
      <c r="I175" s="42"/>
      <c r="J175" s="42"/>
      <c r="K175" s="40"/>
      <c r="L175" s="42"/>
      <c r="M175" s="40"/>
    </row>
    <row r="176" spans="1:13" ht="15.75" customHeight="1" x14ac:dyDescent="0.15">
      <c r="A176" s="40"/>
      <c r="F176" s="40"/>
      <c r="G176" s="42"/>
      <c r="H176" s="42"/>
      <c r="I176" s="42"/>
      <c r="J176" s="42"/>
      <c r="K176" s="40"/>
      <c r="L176" s="42"/>
      <c r="M176" s="40"/>
    </row>
    <row r="177" spans="1:13" ht="15.75" customHeight="1" x14ac:dyDescent="0.15">
      <c r="A177" s="40"/>
      <c r="F177" s="40"/>
      <c r="G177" s="42"/>
      <c r="H177" s="42"/>
      <c r="I177" s="42"/>
      <c r="J177" s="42"/>
      <c r="K177" s="40"/>
      <c r="L177" s="42"/>
      <c r="M177" s="40"/>
    </row>
    <row r="178" spans="1:13" ht="15.75" customHeight="1" x14ac:dyDescent="0.15">
      <c r="A178" s="40"/>
      <c r="F178" s="40"/>
      <c r="G178" s="42"/>
      <c r="H178" s="42"/>
      <c r="I178" s="42"/>
      <c r="J178" s="42"/>
      <c r="K178" s="40"/>
      <c r="L178" s="42"/>
      <c r="M178" s="40"/>
    </row>
    <row r="179" spans="1:13" ht="15.75" customHeight="1" x14ac:dyDescent="0.15">
      <c r="A179" s="40"/>
      <c r="F179" s="40"/>
      <c r="G179" s="42"/>
      <c r="H179" s="42"/>
      <c r="I179" s="42"/>
      <c r="J179" s="42"/>
      <c r="K179" s="40"/>
      <c r="L179" s="42"/>
      <c r="M179" s="40"/>
    </row>
    <row r="180" spans="1:13" ht="15.75" customHeight="1" x14ac:dyDescent="0.15">
      <c r="A180" s="40"/>
      <c r="F180" s="40"/>
      <c r="G180" s="42"/>
      <c r="H180" s="42"/>
      <c r="I180" s="42"/>
      <c r="J180" s="42"/>
      <c r="K180" s="40"/>
      <c r="L180" s="42"/>
      <c r="M180" s="40"/>
    </row>
    <row r="181" spans="1:13" ht="15.75" customHeight="1" x14ac:dyDescent="0.15">
      <c r="A181" s="40"/>
      <c r="F181" s="40"/>
      <c r="G181" s="42"/>
      <c r="H181" s="42"/>
      <c r="I181" s="42"/>
      <c r="J181" s="42"/>
      <c r="K181" s="40"/>
      <c r="L181" s="42"/>
      <c r="M181" s="40"/>
    </row>
    <row r="182" spans="1:13" ht="15.75" customHeight="1" x14ac:dyDescent="0.15">
      <c r="A182" s="40"/>
      <c r="F182" s="40"/>
      <c r="G182" s="42"/>
      <c r="H182" s="42"/>
      <c r="I182" s="42"/>
      <c r="J182" s="42"/>
      <c r="K182" s="40"/>
      <c r="L182" s="42"/>
      <c r="M182" s="40"/>
    </row>
    <row r="183" spans="1:13" ht="15.75" customHeight="1" x14ac:dyDescent="0.15">
      <c r="A183" s="40"/>
      <c r="F183" s="40"/>
      <c r="G183" s="42"/>
      <c r="H183" s="42"/>
      <c r="I183" s="42"/>
      <c r="J183" s="42"/>
      <c r="K183" s="40"/>
      <c r="L183" s="42"/>
      <c r="M183" s="40"/>
    </row>
    <row r="184" spans="1:13" ht="15.75" customHeight="1" x14ac:dyDescent="0.15">
      <c r="A184" s="40"/>
      <c r="F184" s="40"/>
      <c r="G184" s="42"/>
      <c r="H184" s="42"/>
      <c r="I184" s="42"/>
      <c r="J184" s="42"/>
      <c r="K184" s="40"/>
      <c r="L184" s="42"/>
      <c r="M184" s="40"/>
    </row>
    <row r="185" spans="1:13" ht="15.75" customHeight="1" x14ac:dyDescent="0.15">
      <c r="A185" s="40"/>
      <c r="F185" s="40"/>
      <c r="G185" s="42"/>
      <c r="H185" s="42"/>
      <c r="I185" s="42"/>
      <c r="J185" s="42"/>
      <c r="K185" s="40"/>
      <c r="L185" s="42"/>
      <c r="M185" s="40"/>
    </row>
    <row r="186" spans="1:13" ht="15.75" customHeight="1" x14ac:dyDescent="0.15">
      <c r="A186" s="40"/>
      <c r="F186" s="40"/>
      <c r="G186" s="42"/>
      <c r="H186" s="42"/>
      <c r="I186" s="42"/>
      <c r="J186" s="42"/>
      <c r="K186" s="40"/>
      <c r="L186" s="42"/>
      <c r="M186" s="40"/>
    </row>
    <row r="187" spans="1:13" ht="15.75" customHeight="1" x14ac:dyDescent="0.15">
      <c r="A187" s="40"/>
      <c r="F187" s="40"/>
      <c r="G187" s="42"/>
      <c r="H187" s="42"/>
      <c r="I187" s="42"/>
      <c r="J187" s="42"/>
      <c r="K187" s="40"/>
      <c r="L187" s="42"/>
      <c r="M187" s="40"/>
    </row>
    <row r="188" spans="1:13" ht="15.75" customHeight="1" x14ac:dyDescent="0.15">
      <c r="A188" s="40"/>
      <c r="F188" s="40"/>
      <c r="G188" s="42"/>
      <c r="H188" s="42"/>
      <c r="I188" s="42"/>
      <c r="J188" s="42"/>
      <c r="K188" s="40"/>
      <c r="L188" s="42"/>
      <c r="M188" s="40"/>
    </row>
    <row r="189" spans="1:13" ht="15.75" customHeight="1" x14ac:dyDescent="0.15">
      <c r="A189" s="40"/>
      <c r="F189" s="40"/>
      <c r="G189" s="42"/>
      <c r="H189" s="42"/>
      <c r="I189" s="42"/>
      <c r="J189" s="42"/>
      <c r="K189" s="40"/>
      <c r="L189" s="42"/>
      <c r="M189" s="40"/>
    </row>
    <row r="190" spans="1:13" ht="15.75" customHeight="1" x14ac:dyDescent="0.15">
      <c r="A190" s="40"/>
      <c r="F190" s="40"/>
      <c r="G190" s="42"/>
      <c r="H190" s="42"/>
      <c r="I190" s="42"/>
      <c r="J190" s="42"/>
      <c r="K190" s="40"/>
      <c r="L190" s="42"/>
      <c r="M190" s="40"/>
    </row>
    <row r="191" spans="1:13" ht="15.75" customHeight="1" x14ac:dyDescent="0.15">
      <c r="A191" s="40"/>
      <c r="F191" s="40"/>
      <c r="G191" s="42"/>
      <c r="H191" s="42"/>
      <c r="I191" s="42"/>
      <c r="J191" s="42"/>
      <c r="K191" s="40"/>
      <c r="L191" s="42"/>
      <c r="M191" s="40"/>
    </row>
    <row r="192" spans="1:13" ht="15.75" customHeight="1" x14ac:dyDescent="0.15">
      <c r="A192" s="40"/>
      <c r="F192" s="40"/>
      <c r="G192" s="42"/>
      <c r="H192" s="42"/>
      <c r="I192" s="42"/>
      <c r="J192" s="42"/>
      <c r="K192" s="40"/>
      <c r="L192" s="42"/>
      <c r="M192" s="40"/>
    </row>
    <row r="193" spans="1:13" ht="15.75" customHeight="1" x14ac:dyDescent="0.15">
      <c r="A193" s="40"/>
      <c r="F193" s="40"/>
      <c r="G193" s="42"/>
      <c r="H193" s="42"/>
      <c r="I193" s="42"/>
      <c r="J193" s="42"/>
      <c r="K193" s="40"/>
      <c r="L193" s="42"/>
      <c r="M193" s="40"/>
    </row>
    <row r="194" spans="1:13" ht="15.75" customHeight="1" x14ac:dyDescent="0.15">
      <c r="A194" s="40"/>
      <c r="F194" s="40"/>
      <c r="G194" s="42"/>
      <c r="H194" s="42"/>
      <c r="I194" s="42"/>
      <c r="J194" s="42"/>
      <c r="K194" s="40"/>
      <c r="L194" s="42"/>
      <c r="M194" s="40"/>
    </row>
    <row r="195" spans="1:13" ht="15.75" customHeight="1" x14ac:dyDescent="0.15">
      <c r="A195" s="40"/>
      <c r="F195" s="40"/>
      <c r="G195" s="42"/>
      <c r="H195" s="42"/>
      <c r="I195" s="42"/>
      <c r="J195" s="42"/>
      <c r="K195" s="40"/>
      <c r="L195" s="42"/>
      <c r="M195" s="40"/>
    </row>
    <row r="196" spans="1:13" ht="15.75" customHeight="1" x14ac:dyDescent="0.15">
      <c r="A196" s="40"/>
      <c r="F196" s="40"/>
      <c r="G196" s="42"/>
      <c r="H196" s="42"/>
      <c r="I196" s="42"/>
      <c r="J196" s="42"/>
      <c r="K196" s="40"/>
      <c r="L196" s="42"/>
      <c r="M196" s="40"/>
    </row>
    <row r="197" spans="1:13" ht="15.75" customHeight="1" x14ac:dyDescent="0.15">
      <c r="A197" s="40"/>
      <c r="F197" s="40"/>
      <c r="G197" s="42"/>
      <c r="H197" s="42"/>
      <c r="I197" s="42"/>
      <c r="J197" s="42"/>
      <c r="K197" s="40"/>
      <c r="L197" s="42"/>
      <c r="M197" s="40"/>
    </row>
    <row r="198" spans="1:13" ht="15.75" customHeight="1" x14ac:dyDescent="0.15">
      <c r="A198" s="40"/>
      <c r="F198" s="40"/>
      <c r="G198" s="42"/>
      <c r="H198" s="42"/>
      <c r="I198" s="42"/>
      <c r="J198" s="42"/>
      <c r="K198" s="40"/>
      <c r="L198" s="42"/>
      <c r="M198" s="40"/>
    </row>
    <row r="199" spans="1:13" ht="15.75" customHeight="1" x14ac:dyDescent="0.15">
      <c r="A199" s="40"/>
      <c r="F199" s="40"/>
      <c r="G199" s="42"/>
      <c r="H199" s="42"/>
      <c r="I199" s="42"/>
      <c r="J199" s="42"/>
      <c r="K199" s="40"/>
      <c r="L199" s="42"/>
      <c r="M199" s="40"/>
    </row>
    <row r="200" spans="1:13" ht="15.75" customHeight="1" x14ac:dyDescent="0.15">
      <c r="A200" s="40"/>
      <c r="F200" s="40"/>
      <c r="G200" s="42"/>
      <c r="H200" s="42"/>
      <c r="I200" s="42"/>
      <c r="J200" s="42"/>
      <c r="K200" s="40"/>
      <c r="L200" s="42"/>
      <c r="M200" s="40"/>
    </row>
    <row r="201" spans="1:13" ht="15.75" customHeight="1" x14ac:dyDescent="0.15">
      <c r="A201" s="40"/>
      <c r="F201" s="40"/>
      <c r="G201" s="42"/>
      <c r="H201" s="42"/>
      <c r="I201" s="42"/>
      <c r="J201" s="42"/>
      <c r="K201" s="40"/>
      <c r="L201" s="42"/>
      <c r="M201" s="40"/>
    </row>
    <row r="202" spans="1:13" ht="15.75" customHeight="1" x14ac:dyDescent="0.15">
      <c r="A202" s="40"/>
      <c r="F202" s="40"/>
      <c r="G202" s="42"/>
      <c r="H202" s="42"/>
      <c r="I202" s="42"/>
      <c r="J202" s="42"/>
      <c r="K202" s="40"/>
      <c r="L202" s="42"/>
      <c r="M202" s="40"/>
    </row>
    <row r="203" spans="1:13" ht="15.75" customHeight="1" x14ac:dyDescent="0.15">
      <c r="A203" s="40"/>
      <c r="F203" s="40"/>
      <c r="G203" s="42"/>
      <c r="H203" s="42"/>
      <c r="I203" s="42"/>
      <c r="J203" s="42"/>
      <c r="K203" s="40"/>
      <c r="L203" s="42"/>
      <c r="M203" s="40"/>
    </row>
    <row r="204" spans="1:13" ht="15.75" customHeight="1" x14ac:dyDescent="0.15">
      <c r="A204" s="40"/>
      <c r="F204" s="40"/>
      <c r="G204" s="42"/>
      <c r="H204" s="42"/>
      <c r="I204" s="42"/>
      <c r="J204" s="42"/>
      <c r="K204" s="40"/>
      <c r="L204" s="42"/>
      <c r="M204" s="40"/>
    </row>
    <row r="205" spans="1:13" ht="15.75" customHeight="1" x14ac:dyDescent="0.15">
      <c r="A205" s="40"/>
      <c r="F205" s="40"/>
      <c r="G205" s="42"/>
      <c r="H205" s="42"/>
      <c r="I205" s="42"/>
      <c r="J205" s="42"/>
      <c r="K205" s="40"/>
      <c r="L205" s="42"/>
      <c r="M205" s="40"/>
    </row>
    <row r="206" spans="1:13" ht="15.75" customHeight="1" x14ac:dyDescent="0.15">
      <c r="A206" s="40"/>
      <c r="F206" s="40"/>
      <c r="G206" s="42"/>
      <c r="H206" s="42"/>
      <c r="I206" s="42"/>
      <c r="J206" s="42"/>
      <c r="K206" s="40"/>
      <c r="L206" s="42"/>
      <c r="M206" s="40"/>
    </row>
    <row r="207" spans="1:13" ht="15.75" customHeight="1" x14ac:dyDescent="0.15">
      <c r="A207" s="40"/>
      <c r="F207" s="40"/>
      <c r="G207" s="42"/>
      <c r="H207" s="42"/>
      <c r="I207" s="42"/>
      <c r="J207" s="42"/>
      <c r="K207" s="40"/>
      <c r="L207" s="42"/>
      <c r="M207" s="40"/>
    </row>
    <row r="208" spans="1:13" ht="15.75" customHeight="1" x14ac:dyDescent="0.15">
      <c r="A208" s="40"/>
      <c r="F208" s="40"/>
      <c r="G208" s="42"/>
      <c r="H208" s="42"/>
      <c r="I208" s="42"/>
      <c r="J208" s="42"/>
      <c r="K208" s="40"/>
      <c r="L208" s="42"/>
      <c r="M208" s="40"/>
    </row>
    <row r="209" spans="1:13" ht="15.75" customHeight="1" x14ac:dyDescent="0.15">
      <c r="A209" s="40"/>
      <c r="F209" s="40"/>
      <c r="G209" s="42"/>
      <c r="H209" s="42"/>
      <c r="I209" s="42"/>
      <c r="J209" s="42"/>
      <c r="K209" s="40"/>
      <c r="L209" s="42"/>
      <c r="M209" s="40"/>
    </row>
    <row r="210" spans="1:13" ht="15.75" customHeight="1" x14ac:dyDescent="0.15">
      <c r="A210" s="40"/>
      <c r="F210" s="40"/>
      <c r="G210" s="42"/>
      <c r="H210" s="42"/>
      <c r="I210" s="42"/>
      <c r="J210" s="42"/>
      <c r="K210" s="40"/>
      <c r="L210" s="42"/>
      <c r="M210" s="40"/>
    </row>
    <row r="211" spans="1:13" ht="15.75" customHeight="1" x14ac:dyDescent="0.15">
      <c r="A211" s="40"/>
      <c r="F211" s="40"/>
      <c r="G211" s="42"/>
      <c r="H211" s="42"/>
      <c r="I211" s="42"/>
      <c r="J211" s="42"/>
      <c r="K211" s="40"/>
      <c r="L211" s="42"/>
      <c r="M211" s="40"/>
    </row>
    <row r="212" spans="1:13" ht="15.75" customHeight="1" x14ac:dyDescent="0.15">
      <c r="A212" s="40"/>
      <c r="F212" s="40"/>
      <c r="G212" s="42"/>
      <c r="H212" s="42"/>
      <c r="I212" s="42"/>
      <c r="J212" s="42"/>
      <c r="K212" s="40"/>
      <c r="L212" s="42"/>
      <c r="M212" s="40"/>
    </row>
    <row r="213" spans="1:13" ht="15.75" customHeight="1" x14ac:dyDescent="0.15">
      <c r="A213" s="40"/>
      <c r="F213" s="40"/>
      <c r="G213" s="42"/>
      <c r="H213" s="42"/>
      <c r="I213" s="42"/>
      <c r="J213" s="42"/>
      <c r="K213" s="40"/>
      <c r="L213" s="42"/>
      <c r="M213" s="40"/>
    </row>
    <row r="214" spans="1:13" ht="15.75" customHeight="1" x14ac:dyDescent="0.15">
      <c r="A214" s="40"/>
      <c r="F214" s="40"/>
      <c r="G214" s="42"/>
      <c r="H214" s="42"/>
      <c r="I214" s="42"/>
      <c r="J214" s="42"/>
      <c r="K214" s="40"/>
      <c r="L214" s="42"/>
      <c r="M214" s="40"/>
    </row>
    <row r="215" spans="1:13" ht="15.75" customHeight="1" x14ac:dyDescent="0.15">
      <c r="A215" s="40"/>
      <c r="F215" s="40"/>
      <c r="G215" s="42"/>
      <c r="H215" s="42"/>
      <c r="I215" s="42"/>
      <c r="J215" s="42"/>
      <c r="K215" s="40"/>
      <c r="L215" s="42"/>
      <c r="M215" s="40"/>
    </row>
    <row r="216" spans="1:13" ht="15.75" customHeight="1" x14ac:dyDescent="0.15">
      <c r="A216" s="40"/>
      <c r="F216" s="40"/>
      <c r="G216" s="42"/>
      <c r="H216" s="42"/>
      <c r="I216" s="42"/>
      <c r="J216" s="42"/>
      <c r="K216" s="40"/>
      <c r="L216" s="42"/>
      <c r="M216" s="40"/>
    </row>
    <row r="217" spans="1:13" ht="15.75" customHeight="1" x14ac:dyDescent="0.15">
      <c r="A217" s="40"/>
      <c r="F217" s="40"/>
      <c r="G217" s="42"/>
      <c r="H217" s="42"/>
      <c r="I217" s="42"/>
      <c r="J217" s="42"/>
      <c r="K217" s="40"/>
      <c r="L217" s="42"/>
      <c r="M217" s="40"/>
    </row>
    <row r="218" spans="1:13" ht="15.75" customHeight="1" x14ac:dyDescent="0.15">
      <c r="A218" s="40"/>
      <c r="F218" s="40"/>
      <c r="G218" s="42"/>
      <c r="H218" s="42"/>
      <c r="I218" s="42"/>
      <c r="J218" s="42"/>
      <c r="K218" s="40"/>
      <c r="L218" s="42"/>
      <c r="M218" s="40"/>
    </row>
    <row r="219" spans="1:13" ht="15.75" customHeight="1" x14ac:dyDescent="0.15">
      <c r="A219" s="40"/>
      <c r="F219" s="40"/>
      <c r="G219" s="42"/>
      <c r="H219" s="42"/>
      <c r="I219" s="42"/>
      <c r="J219" s="42"/>
      <c r="K219" s="40"/>
      <c r="L219" s="42"/>
      <c r="M219" s="40"/>
    </row>
    <row r="220" spans="1:13" ht="15.75" customHeight="1" x14ac:dyDescent="0.15">
      <c r="A220" s="40"/>
      <c r="F220" s="40"/>
      <c r="G220" s="42"/>
      <c r="H220" s="42"/>
      <c r="I220" s="42"/>
      <c r="J220" s="42"/>
      <c r="K220" s="40"/>
      <c r="L220" s="42"/>
      <c r="M220" s="40"/>
    </row>
    <row r="221" spans="1:13" ht="15.75" customHeight="1" x14ac:dyDescent="0.15">
      <c r="A221" s="40"/>
      <c r="F221" s="40"/>
      <c r="G221" s="42"/>
      <c r="H221" s="42"/>
      <c r="I221" s="42"/>
      <c r="J221" s="42"/>
      <c r="K221" s="40"/>
      <c r="L221" s="42"/>
      <c r="M221" s="40"/>
    </row>
    <row r="222" spans="1:13" ht="15.75" customHeight="1" x14ac:dyDescent="0.15">
      <c r="A222" s="40"/>
      <c r="F222" s="40"/>
      <c r="G222" s="42"/>
      <c r="H222" s="42"/>
      <c r="I222" s="42"/>
      <c r="J222" s="42"/>
      <c r="K222" s="40"/>
      <c r="L222" s="42"/>
      <c r="M222" s="40"/>
    </row>
    <row r="223" spans="1:13" ht="15.75" customHeight="1" x14ac:dyDescent="0.15">
      <c r="A223" s="40"/>
      <c r="F223" s="40"/>
      <c r="G223" s="42"/>
      <c r="H223" s="42"/>
      <c r="I223" s="42"/>
      <c r="J223" s="42"/>
      <c r="K223" s="40"/>
      <c r="L223" s="42"/>
      <c r="M223" s="40"/>
    </row>
    <row r="224" spans="1:13" ht="15.75" customHeight="1" x14ac:dyDescent="0.15">
      <c r="A224" s="40"/>
      <c r="F224" s="40"/>
      <c r="G224" s="42"/>
      <c r="H224" s="42"/>
      <c r="I224" s="42"/>
      <c r="J224" s="42"/>
      <c r="K224" s="40"/>
      <c r="L224" s="42"/>
      <c r="M224" s="40"/>
    </row>
    <row r="225" spans="1:13" ht="15.75" customHeight="1" x14ac:dyDescent="0.15">
      <c r="A225" s="40"/>
      <c r="F225" s="40"/>
      <c r="G225" s="42"/>
      <c r="H225" s="42"/>
      <c r="I225" s="42"/>
      <c r="J225" s="42"/>
      <c r="K225" s="40"/>
      <c r="L225" s="42"/>
      <c r="M225" s="40"/>
    </row>
    <row r="226" spans="1:13" ht="15.75" customHeight="1" x14ac:dyDescent="0.15">
      <c r="A226" s="40"/>
      <c r="F226" s="40"/>
      <c r="G226" s="42"/>
      <c r="H226" s="42"/>
      <c r="I226" s="42"/>
      <c r="J226" s="42"/>
      <c r="K226" s="40"/>
      <c r="L226" s="42"/>
      <c r="M226" s="40"/>
    </row>
    <row r="227" spans="1:13" ht="15.75" customHeight="1" x14ac:dyDescent="0.15">
      <c r="A227" s="40"/>
      <c r="F227" s="40"/>
      <c r="G227" s="42"/>
      <c r="H227" s="42"/>
      <c r="I227" s="42"/>
      <c r="J227" s="42"/>
      <c r="K227" s="40"/>
      <c r="L227" s="42"/>
      <c r="M227" s="40"/>
    </row>
    <row r="228" spans="1:13" ht="15.75" customHeight="1" x14ac:dyDescent="0.15">
      <c r="A228" s="40"/>
      <c r="F228" s="40"/>
      <c r="G228" s="42"/>
      <c r="H228" s="42"/>
      <c r="I228" s="42"/>
      <c r="J228" s="42"/>
      <c r="K228" s="40"/>
      <c r="L228" s="42"/>
      <c r="M228" s="40"/>
    </row>
    <row r="229" spans="1:13" ht="15.75" customHeight="1" x14ac:dyDescent="0.15">
      <c r="A229" s="40"/>
      <c r="F229" s="40"/>
      <c r="G229" s="42"/>
      <c r="H229" s="42"/>
      <c r="I229" s="42"/>
      <c r="J229" s="42"/>
      <c r="K229" s="40"/>
      <c r="L229" s="42"/>
      <c r="M229" s="40"/>
    </row>
    <row r="230" spans="1:13" ht="15.75" customHeight="1" x14ac:dyDescent="0.15">
      <c r="A230" s="40"/>
      <c r="F230" s="40"/>
      <c r="G230" s="42"/>
      <c r="H230" s="42"/>
      <c r="I230" s="42"/>
      <c r="J230" s="42"/>
      <c r="K230" s="40"/>
      <c r="L230" s="42"/>
      <c r="M230" s="40"/>
    </row>
    <row r="231" spans="1:13" ht="15.75" customHeight="1" x14ac:dyDescent="0.15">
      <c r="A231" s="40"/>
      <c r="F231" s="40"/>
      <c r="G231" s="42"/>
      <c r="H231" s="42"/>
      <c r="I231" s="42"/>
      <c r="J231" s="42"/>
      <c r="K231" s="40"/>
      <c r="L231" s="42"/>
      <c r="M231" s="40"/>
    </row>
    <row r="232" spans="1:13" ht="15.75" customHeight="1" x14ac:dyDescent="0.15">
      <c r="A232" s="40"/>
      <c r="F232" s="40"/>
      <c r="G232" s="42"/>
      <c r="H232" s="42"/>
      <c r="I232" s="42"/>
      <c r="J232" s="42"/>
      <c r="K232" s="40"/>
      <c r="L232" s="42"/>
      <c r="M232" s="40"/>
    </row>
    <row r="233" spans="1:13" ht="15.75" customHeight="1" x14ac:dyDescent="0.15">
      <c r="A233" s="40"/>
      <c r="F233" s="40"/>
      <c r="G233" s="42"/>
      <c r="H233" s="42"/>
      <c r="I233" s="42"/>
      <c r="J233" s="42"/>
      <c r="K233" s="40"/>
      <c r="L233" s="42"/>
      <c r="M233" s="40"/>
    </row>
    <row r="234" spans="1:13" ht="15.75" customHeight="1" x14ac:dyDescent="0.15">
      <c r="A234" s="40"/>
      <c r="F234" s="40"/>
      <c r="G234" s="42"/>
      <c r="H234" s="42"/>
      <c r="I234" s="42"/>
      <c r="J234" s="42"/>
      <c r="K234" s="40"/>
      <c r="L234" s="42"/>
      <c r="M234" s="40"/>
    </row>
    <row r="235" spans="1:13" ht="15.75" customHeight="1" x14ac:dyDescent="0.15">
      <c r="A235" s="40"/>
      <c r="F235" s="40"/>
      <c r="G235" s="42"/>
      <c r="H235" s="42"/>
      <c r="I235" s="42"/>
      <c r="J235" s="42"/>
      <c r="K235" s="40"/>
      <c r="L235" s="42"/>
      <c r="M235" s="40"/>
    </row>
    <row r="236" spans="1:13" ht="15.75" customHeight="1" x14ac:dyDescent="0.15">
      <c r="A236" s="40"/>
      <c r="F236" s="40"/>
      <c r="G236" s="42"/>
      <c r="H236" s="42"/>
      <c r="I236" s="42"/>
      <c r="J236" s="42"/>
      <c r="K236" s="40"/>
      <c r="L236" s="42"/>
      <c r="M236" s="40"/>
    </row>
    <row r="237" spans="1:13" ht="15.75" customHeight="1" x14ac:dyDescent="0.15">
      <c r="A237" s="40"/>
      <c r="F237" s="40"/>
      <c r="G237" s="42"/>
      <c r="H237" s="42"/>
      <c r="I237" s="42"/>
      <c r="J237" s="42"/>
      <c r="K237" s="40"/>
      <c r="L237" s="42"/>
      <c r="M237" s="40"/>
    </row>
    <row r="238" spans="1:13" ht="15.75" customHeight="1" x14ac:dyDescent="0.15">
      <c r="A238" s="40"/>
      <c r="F238" s="40"/>
      <c r="G238" s="42"/>
      <c r="H238" s="42"/>
      <c r="I238" s="42"/>
      <c r="J238" s="42"/>
      <c r="K238" s="40"/>
      <c r="L238" s="42"/>
      <c r="M238" s="40"/>
    </row>
    <row r="239" spans="1:13" ht="15.75" customHeight="1" x14ac:dyDescent="0.15">
      <c r="A239" s="40"/>
      <c r="F239" s="40"/>
      <c r="G239" s="42"/>
      <c r="H239" s="42"/>
      <c r="I239" s="42"/>
      <c r="J239" s="42"/>
      <c r="K239" s="40"/>
      <c r="L239" s="42"/>
      <c r="M239" s="40"/>
    </row>
    <row r="240" spans="1:13" ht="15.75" customHeight="1" x14ac:dyDescent="0.15">
      <c r="A240" s="40"/>
      <c r="F240" s="40"/>
      <c r="G240" s="42"/>
      <c r="H240" s="42"/>
      <c r="I240" s="42"/>
      <c r="J240" s="42"/>
      <c r="K240" s="40"/>
      <c r="L240" s="42"/>
      <c r="M240" s="40"/>
    </row>
    <row r="241" spans="1:13" ht="15.75" customHeight="1" x14ac:dyDescent="0.15">
      <c r="A241" s="40"/>
      <c r="F241" s="40"/>
      <c r="G241" s="42"/>
      <c r="H241" s="42"/>
      <c r="I241" s="42"/>
      <c r="J241" s="42"/>
      <c r="K241" s="40"/>
      <c r="L241" s="42"/>
      <c r="M241" s="40"/>
    </row>
    <row r="242" spans="1:13" ht="15.75" customHeight="1" x14ac:dyDescent="0.15">
      <c r="A242" s="40"/>
      <c r="F242" s="40"/>
      <c r="G242" s="42"/>
      <c r="H242" s="42"/>
      <c r="I242" s="42"/>
      <c r="J242" s="42"/>
      <c r="K242" s="40"/>
      <c r="L242" s="42"/>
      <c r="M242" s="40"/>
    </row>
    <row r="243" spans="1:13" ht="15.75" customHeight="1" x14ac:dyDescent="0.15">
      <c r="A243" s="40"/>
      <c r="F243" s="40"/>
      <c r="G243" s="42"/>
      <c r="H243" s="42"/>
      <c r="I243" s="42"/>
      <c r="J243" s="42"/>
      <c r="K243" s="40"/>
      <c r="L243" s="42"/>
      <c r="M243" s="40"/>
    </row>
    <row r="244" spans="1:13" ht="15.75" customHeight="1" x14ac:dyDescent="0.15">
      <c r="A244" s="40"/>
      <c r="F244" s="40"/>
      <c r="G244" s="42"/>
      <c r="H244" s="42"/>
      <c r="I244" s="42"/>
      <c r="J244" s="42"/>
      <c r="K244" s="40"/>
      <c r="L244" s="42"/>
      <c r="M244" s="40"/>
    </row>
    <row r="245" spans="1:13" ht="15.75" customHeight="1" x14ac:dyDescent="0.15">
      <c r="A245" s="40"/>
      <c r="F245" s="40"/>
      <c r="G245" s="42"/>
      <c r="H245" s="42"/>
      <c r="I245" s="42"/>
      <c r="J245" s="42"/>
      <c r="K245" s="40"/>
      <c r="L245" s="42"/>
      <c r="M245" s="40"/>
    </row>
    <row r="246" spans="1:13" ht="15.75" customHeight="1" x14ac:dyDescent="0.15">
      <c r="A246" s="40"/>
      <c r="F246" s="40"/>
      <c r="G246" s="42"/>
      <c r="H246" s="42"/>
      <c r="I246" s="42"/>
      <c r="J246" s="42"/>
      <c r="K246" s="40"/>
      <c r="L246" s="42"/>
      <c r="M246" s="40"/>
    </row>
    <row r="247" spans="1:13" ht="15.75" customHeight="1" x14ac:dyDescent="0.15">
      <c r="A247" s="40"/>
      <c r="F247" s="40"/>
      <c r="G247" s="42"/>
      <c r="H247" s="42"/>
      <c r="I247" s="42"/>
      <c r="J247" s="42"/>
      <c r="K247" s="40"/>
      <c r="L247" s="42"/>
      <c r="M247" s="40"/>
    </row>
    <row r="248" spans="1:13" ht="15.75" customHeight="1" x14ac:dyDescent="0.15">
      <c r="A248" s="40"/>
      <c r="F248" s="40"/>
      <c r="G248" s="42"/>
      <c r="H248" s="42"/>
      <c r="I248" s="42"/>
      <c r="J248" s="42"/>
      <c r="K248" s="40"/>
      <c r="L248" s="42"/>
      <c r="M248" s="40"/>
    </row>
    <row r="249" spans="1:13" ht="15.75" customHeight="1" x14ac:dyDescent="0.15">
      <c r="A249" s="40"/>
      <c r="F249" s="40"/>
      <c r="G249" s="42"/>
      <c r="H249" s="42"/>
      <c r="I249" s="42"/>
      <c r="J249" s="42"/>
      <c r="K249" s="40"/>
      <c r="L249" s="42"/>
      <c r="M249" s="40"/>
    </row>
    <row r="250" spans="1:13" ht="15.75" customHeight="1" x14ac:dyDescent="0.15">
      <c r="A250" s="40"/>
      <c r="F250" s="40"/>
      <c r="G250" s="42"/>
      <c r="H250" s="42"/>
      <c r="I250" s="42"/>
      <c r="J250" s="42"/>
      <c r="K250" s="40"/>
      <c r="L250" s="42"/>
      <c r="M250" s="40"/>
    </row>
    <row r="251" spans="1:13" ht="15.75" customHeight="1" x14ac:dyDescent="0.15">
      <c r="A251" s="40"/>
      <c r="F251" s="40"/>
      <c r="G251" s="42"/>
      <c r="H251" s="42"/>
      <c r="I251" s="42"/>
      <c r="J251" s="42"/>
      <c r="K251" s="40"/>
      <c r="L251" s="42"/>
      <c r="M251" s="40"/>
    </row>
    <row r="252" spans="1:13" ht="15.75" customHeight="1" x14ac:dyDescent="0.15">
      <c r="A252" s="40"/>
      <c r="F252" s="40"/>
      <c r="G252" s="42"/>
      <c r="H252" s="42"/>
      <c r="I252" s="42"/>
      <c r="J252" s="42"/>
      <c r="K252" s="40"/>
      <c r="L252" s="42"/>
      <c r="M252" s="40"/>
    </row>
    <row r="253" spans="1:13" ht="15.75" customHeight="1" x14ac:dyDescent="0.15">
      <c r="A253" s="40"/>
      <c r="F253" s="40"/>
      <c r="G253" s="42"/>
      <c r="H253" s="42"/>
      <c r="I253" s="42"/>
      <c r="J253" s="42"/>
      <c r="K253" s="40"/>
      <c r="L253" s="42"/>
      <c r="M253" s="40"/>
    </row>
    <row r="254" spans="1:13" ht="15.75" customHeight="1" x14ac:dyDescent="0.15">
      <c r="A254" s="40"/>
      <c r="F254" s="40"/>
      <c r="G254" s="42"/>
      <c r="H254" s="42"/>
      <c r="I254" s="42"/>
      <c r="J254" s="42"/>
      <c r="K254" s="40"/>
      <c r="L254" s="42"/>
      <c r="M254" s="40"/>
    </row>
    <row r="255" spans="1:13" ht="15.75" customHeight="1" x14ac:dyDescent="0.15">
      <c r="A255" s="40"/>
      <c r="F255" s="40"/>
      <c r="G255" s="42"/>
      <c r="H255" s="42"/>
      <c r="I255" s="42"/>
      <c r="J255" s="42"/>
      <c r="K255" s="40"/>
      <c r="L255" s="42"/>
      <c r="M255" s="40"/>
    </row>
    <row r="256" spans="1:13" ht="15.75" customHeight="1" x14ac:dyDescent="0.15">
      <c r="A256" s="40"/>
      <c r="F256" s="40"/>
      <c r="G256" s="42"/>
      <c r="H256" s="42"/>
      <c r="I256" s="42"/>
      <c r="J256" s="42"/>
      <c r="K256" s="40"/>
      <c r="L256" s="42"/>
      <c r="M256" s="40"/>
    </row>
    <row r="257" spans="1:13" ht="15.75" customHeight="1" x14ac:dyDescent="0.15">
      <c r="A257" s="40"/>
      <c r="F257" s="40"/>
      <c r="G257" s="42"/>
      <c r="H257" s="42"/>
      <c r="I257" s="42"/>
      <c r="J257" s="42"/>
      <c r="K257" s="40"/>
      <c r="L257" s="42"/>
      <c r="M257" s="40"/>
    </row>
    <row r="258" spans="1:13" ht="15.75" customHeight="1" x14ac:dyDescent="0.15">
      <c r="A258" s="40"/>
      <c r="F258" s="40"/>
      <c r="G258" s="42"/>
      <c r="H258" s="42"/>
      <c r="I258" s="42"/>
      <c r="J258" s="42"/>
      <c r="K258" s="40"/>
      <c r="L258" s="42"/>
      <c r="M258" s="40"/>
    </row>
    <row r="259" spans="1:13" ht="15.75" customHeight="1" x14ac:dyDescent="0.15">
      <c r="A259" s="40"/>
      <c r="F259" s="40"/>
      <c r="G259" s="42"/>
      <c r="H259" s="42"/>
      <c r="I259" s="42"/>
      <c r="J259" s="42"/>
      <c r="K259" s="40"/>
      <c r="L259" s="42"/>
      <c r="M259" s="40"/>
    </row>
    <row r="260" spans="1:13" ht="15.75" customHeight="1" x14ac:dyDescent="0.15">
      <c r="A260" s="40"/>
      <c r="F260" s="40"/>
      <c r="G260" s="42"/>
      <c r="H260" s="42"/>
      <c r="I260" s="42"/>
      <c r="J260" s="42"/>
      <c r="K260" s="40"/>
      <c r="L260" s="42"/>
      <c r="M260" s="40"/>
    </row>
    <row r="261" spans="1:13" ht="15.75" customHeight="1" x14ac:dyDescent="0.15">
      <c r="A261" s="40"/>
      <c r="F261" s="40"/>
      <c r="G261" s="42"/>
      <c r="H261" s="42"/>
      <c r="I261" s="42"/>
      <c r="J261" s="42"/>
      <c r="K261" s="40"/>
      <c r="L261" s="42"/>
      <c r="M261" s="40"/>
    </row>
    <row r="262" spans="1:13" ht="15.75" customHeight="1" x14ac:dyDescent="0.15">
      <c r="A262" s="40"/>
      <c r="F262" s="40"/>
      <c r="G262" s="42"/>
      <c r="H262" s="42"/>
      <c r="I262" s="42"/>
      <c r="J262" s="42"/>
      <c r="K262" s="40"/>
      <c r="L262" s="42"/>
      <c r="M262" s="40"/>
    </row>
    <row r="263" spans="1:13" ht="15.75" customHeight="1" x14ac:dyDescent="0.15">
      <c r="A263" s="40"/>
      <c r="F263" s="40"/>
      <c r="G263" s="42"/>
      <c r="H263" s="42"/>
      <c r="I263" s="42"/>
      <c r="J263" s="42"/>
      <c r="K263" s="40"/>
      <c r="L263" s="42"/>
      <c r="M263" s="40"/>
    </row>
    <row r="264" spans="1:13" ht="15.75" customHeight="1" x14ac:dyDescent="0.15">
      <c r="A264" s="40"/>
      <c r="F264" s="40"/>
      <c r="G264" s="42"/>
      <c r="H264" s="42"/>
      <c r="I264" s="42"/>
      <c r="J264" s="42"/>
      <c r="K264" s="40"/>
      <c r="L264" s="42"/>
      <c r="M264" s="40"/>
    </row>
    <row r="265" spans="1:13" ht="15.75" customHeight="1" x14ac:dyDescent="0.15">
      <c r="A265" s="40"/>
      <c r="F265" s="40"/>
      <c r="G265" s="42"/>
      <c r="H265" s="42"/>
      <c r="I265" s="42"/>
      <c r="J265" s="42"/>
      <c r="K265" s="40"/>
      <c r="L265" s="42"/>
      <c r="M265" s="40"/>
    </row>
    <row r="266" spans="1:13" ht="15.75" customHeight="1" x14ac:dyDescent="0.15">
      <c r="A266" s="40"/>
      <c r="F266" s="40"/>
      <c r="G266" s="42"/>
      <c r="H266" s="42"/>
      <c r="I266" s="42"/>
      <c r="J266" s="42"/>
      <c r="K266" s="40"/>
      <c r="L266" s="42"/>
      <c r="M266" s="40"/>
    </row>
    <row r="267" spans="1:13" ht="15.75" customHeight="1" x14ac:dyDescent="0.15">
      <c r="A267" s="40"/>
      <c r="F267" s="40"/>
      <c r="G267" s="42"/>
      <c r="H267" s="42"/>
      <c r="I267" s="42"/>
      <c r="J267" s="42"/>
      <c r="K267" s="40"/>
      <c r="L267" s="42"/>
      <c r="M267" s="40"/>
    </row>
    <row r="268" spans="1:13" ht="15.75" customHeight="1" x14ac:dyDescent="0.15">
      <c r="A268" s="40"/>
      <c r="F268" s="40"/>
      <c r="G268" s="42"/>
      <c r="H268" s="42"/>
      <c r="I268" s="42"/>
      <c r="J268" s="42"/>
      <c r="K268" s="40"/>
      <c r="L268" s="42"/>
      <c r="M268" s="40"/>
    </row>
    <row r="269" spans="1:13" ht="15.75" customHeight="1" x14ac:dyDescent="0.15">
      <c r="A269" s="40"/>
      <c r="F269" s="40"/>
      <c r="G269" s="42"/>
      <c r="H269" s="42"/>
      <c r="I269" s="42"/>
      <c r="J269" s="42"/>
      <c r="K269" s="40"/>
      <c r="L269" s="42"/>
      <c r="M269" s="40"/>
    </row>
    <row r="270" spans="1:13" ht="15.75" customHeight="1" x14ac:dyDescent="0.15">
      <c r="A270" s="40"/>
      <c r="F270" s="40"/>
      <c r="G270" s="42"/>
      <c r="H270" s="42"/>
      <c r="I270" s="42"/>
      <c r="J270" s="42"/>
      <c r="K270" s="40"/>
      <c r="L270" s="42"/>
      <c r="M270" s="40"/>
    </row>
    <row r="271" spans="1:13" ht="15.75" customHeight="1" x14ac:dyDescent="0.15">
      <c r="A271" s="40"/>
      <c r="F271" s="40"/>
      <c r="G271" s="42"/>
      <c r="H271" s="42"/>
      <c r="I271" s="42"/>
      <c r="J271" s="42"/>
      <c r="K271" s="40"/>
      <c r="L271" s="42"/>
      <c r="M271" s="40"/>
    </row>
    <row r="272" spans="1:13" ht="15.75" customHeight="1" x14ac:dyDescent="0.15">
      <c r="A272" s="40"/>
      <c r="F272" s="40"/>
      <c r="G272" s="42"/>
      <c r="H272" s="42"/>
      <c r="I272" s="42"/>
      <c r="J272" s="42"/>
      <c r="K272" s="40"/>
      <c r="L272" s="42"/>
      <c r="M272" s="40"/>
    </row>
    <row r="273" spans="1:13" ht="15.75" customHeight="1" x14ac:dyDescent="0.15">
      <c r="A273" s="40"/>
      <c r="F273" s="40"/>
      <c r="G273" s="42"/>
      <c r="H273" s="42"/>
      <c r="I273" s="42"/>
      <c r="J273" s="42"/>
      <c r="K273" s="40"/>
      <c r="L273" s="42"/>
      <c r="M273" s="40"/>
    </row>
    <row r="274" spans="1:13" ht="15.75" customHeight="1" x14ac:dyDescent="0.15">
      <c r="A274" s="40"/>
      <c r="F274" s="40"/>
      <c r="G274" s="42"/>
      <c r="H274" s="42"/>
      <c r="I274" s="42"/>
      <c r="J274" s="42"/>
      <c r="K274" s="40"/>
      <c r="L274" s="42"/>
      <c r="M274" s="40"/>
    </row>
    <row r="275" spans="1:13" ht="15.75" customHeight="1" x14ac:dyDescent="0.15">
      <c r="A275" s="40"/>
      <c r="F275" s="40"/>
      <c r="G275" s="42"/>
      <c r="H275" s="42"/>
      <c r="I275" s="42"/>
      <c r="J275" s="42"/>
      <c r="K275" s="40"/>
      <c r="L275" s="42"/>
      <c r="M275" s="40"/>
    </row>
    <row r="276" spans="1:13" ht="15.75" customHeight="1" x14ac:dyDescent="0.15">
      <c r="A276" s="40"/>
      <c r="F276" s="40"/>
      <c r="G276" s="42"/>
      <c r="H276" s="42"/>
      <c r="I276" s="42"/>
      <c r="J276" s="42"/>
      <c r="K276" s="40"/>
      <c r="L276" s="42"/>
      <c r="M276" s="40"/>
    </row>
    <row r="277" spans="1:13" ht="15.75" customHeight="1" x14ac:dyDescent="0.15">
      <c r="A277" s="40"/>
      <c r="F277" s="40"/>
      <c r="G277" s="42"/>
      <c r="H277" s="42"/>
      <c r="I277" s="42"/>
      <c r="J277" s="42"/>
      <c r="K277" s="40"/>
      <c r="L277" s="42"/>
      <c r="M277" s="40"/>
    </row>
    <row r="278" spans="1:13" ht="15.75" customHeight="1" x14ac:dyDescent="0.15">
      <c r="A278" s="40"/>
      <c r="F278" s="40"/>
      <c r="G278" s="42"/>
      <c r="H278" s="42"/>
      <c r="I278" s="42"/>
      <c r="J278" s="42"/>
      <c r="K278" s="40"/>
      <c r="L278" s="42"/>
      <c r="M278" s="40"/>
    </row>
    <row r="279" spans="1:13" ht="15.75" customHeight="1" x14ac:dyDescent="0.15">
      <c r="A279" s="40"/>
      <c r="F279" s="40"/>
      <c r="G279" s="42"/>
      <c r="H279" s="42"/>
      <c r="I279" s="42"/>
      <c r="J279" s="42"/>
      <c r="K279" s="40"/>
      <c r="L279" s="42"/>
      <c r="M279" s="40"/>
    </row>
    <row r="280" spans="1:13" ht="15.75" customHeight="1" x14ac:dyDescent="0.15">
      <c r="A280" s="40"/>
      <c r="F280" s="40"/>
      <c r="G280" s="42"/>
      <c r="H280" s="42"/>
      <c r="I280" s="42"/>
      <c r="J280" s="42"/>
      <c r="K280" s="40"/>
      <c r="L280" s="42"/>
      <c r="M280" s="40"/>
    </row>
    <row r="281" spans="1:13" ht="15.75" customHeight="1" x14ac:dyDescent="0.15">
      <c r="A281" s="40"/>
      <c r="F281" s="40"/>
      <c r="G281" s="42"/>
      <c r="H281" s="42"/>
      <c r="I281" s="42"/>
      <c r="J281" s="42"/>
      <c r="K281" s="40"/>
      <c r="L281" s="42"/>
      <c r="M281" s="40"/>
    </row>
    <row r="282" spans="1:13" ht="15.75" customHeight="1" x14ac:dyDescent="0.15">
      <c r="A282" s="40"/>
      <c r="F282" s="40"/>
      <c r="G282" s="42"/>
      <c r="H282" s="42"/>
      <c r="I282" s="42"/>
      <c r="J282" s="42"/>
      <c r="K282" s="40"/>
      <c r="L282" s="42"/>
      <c r="M282" s="40"/>
    </row>
    <row r="283" spans="1:13" ht="15.75" customHeight="1" x14ac:dyDescent="0.15">
      <c r="A283" s="40"/>
      <c r="F283" s="40"/>
      <c r="G283" s="42"/>
      <c r="H283" s="42"/>
      <c r="I283" s="42"/>
      <c r="J283" s="42"/>
      <c r="K283" s="40"/>
      <c r="L283" s="42"/>
      <c r="M283" s="40"/>
    </row>
    <row r="284" spans="1:13" ht="15.75" customHeight="1" x14ac:dyDescent="0.15">
      <c r="A284" s="40"/>
      <c r="F284" s="40"/>
      <c r="G284" s="42"/>
      <c r="H284" s="42"/>
      <c r="I284" s="42"/>
      <c r="J284" s="42"/>
      <c r="K284" s="40"/>
      <c r="L284" s="42"/>
      <c r="M284" s="40"/>
    </row>
    <row r="285" spans="1:13" ht="15.75" customHeight="1" x14ac:dyDescent="0.15">
      <c r="A285" s="40"/>
      <c r="F285" s="40"/>
      <c r="G285" s="42"/>
      <c r="H285" s="42"/>
      <c r="I285" s="42"/>
      <c r="J285" s="42"/>
      <c r="K285" s="40"/>
      <c r="L285" s="42"/>
      <c r="M285" s="40"/>
    </row>
    <row r="286" spans="1:13" ht="15.75" customHeight="1" x14ac:dyDescent="0.15">
      <c r="A286" s="40"/>
      <c r="F286" s="40"/>
      <c r="G286" s="42"/>
      <c r="H286" s="42"/>
      <c r="I286" s="42"/>
      <c r="J286" s="42"/>
      <c r="K286" s="40"/>
      <c r="L286" s="42"/>
      <c r="M286" s="40"/>
    </row>
    <row r="287" spans="1:13" ht="15.75" customHeight="1" x14ac:dyDescent="0.15">
      <c r="A287" s="40"/>
      <c r="F287" s="40"/>
      <c r="G287" s="42"/>
      <c r="H287" s="42"/>
      <c r="I287" s="42"/>
      <c r="J287" s="42"/>
      <c r="K287" s="40"/>
      <c r="L287" s="42"/>
      <c r="M287" s="40"/>
    </row>
    <row r="288" spans="1:13" ht="15.75" customHeight="1" x14ac:dyDescent="0.15">
      <c r="A288" s="40"/>
      <c r="F288" s="40"/>
      <c r="G288" s="42"/>
      <c r="H288" s="42"/>
      <c r="I288" s="42"/>
      <c r="J288" s="42"/>
      <c r="K288" s="40"/>
      <c r="L288" s="42"/>
      <c r="M288" s="40"/>
    </row>
    <row r="289" spans="1:13" ht="15.75" customHeight="1" x14ac:dyDescent="0.15">
      <c r="A289" s="40"/>
      <c r="F289" s="40"/>
      <c r="G289" s="42"/>
      <c r="H289" s="42"/>
      <c r="I289" s="42"/>
      <c r="J289" s="42"/>
      <c r="K289" s="40"/>
      <c r="L289" s="42"/>
      <c r="M289" s="40"/>
    </row>
    <row r="290" spans="1:13" ht="15.75" customHeight="1" x14ac:dyDescent="0.15">
      <c r="A290" s="40"/>
      <c r="F290" s="40"/>
      <c r="G290" s="42"/>
      <c r="H290" s="42"/>
      <c r="I290" s="42"/>
      <c r="J290" s="42"/>
      <c r="K290" s="40"/>
      <c r="L290" s="42"/>
      <c r="M290" s="40"/>
    </row>
    <row r="291" spans="1:13" ht="15.75" customHeight="1" x14ac:dyDescent="0.15">
      <c r="A291" s="40"/>
      <c r="F291" s="40"/>
      <c r="G291" s="42"/>
      <c r="H291" s="42"/>
      <c r="I291" s="42"/>
      <c r="J291" s="42"/>
      <c r="K291" s="40"/>
      <c r="L291" s="42"/>
      <c r="M291" s="40"/>
    </row>
    <row r="292" spans="1:13" ht="15.75" customHeight="1" x14ac:dyDescent="0.15">
      <c r="A292" s="40"/>
      <c r="F292" s="40"/>
      <c r="G292" s="42"/>
      <c r="H292" s="42"/>
      <c r="I292" s="42"/>
      <c r="J292" s="42"/>
      <c r="K292" s="40"/>
      <c r="L292" s="42"/>
      <c r="M292" s="40"/>
    </row>
    <row r="293" spans="1:13" ht="15.75" customHeight="1" x14ac:dyDescent="0.15">
      <c r="A293" s="40"/>
      <c r="F293" s="40"/>
      <c r="G293" s="42"/>
      <c r="H293" s="42"/>
      <c r="I293" s="42"/>
      <c r="J293" s="42"/>
      <c r="K293" s="40"/>
      <c r="L293" s="42"/>
      <c r="M293" s="40"/>
    </row>
    <row r="294" spans="1:13" ht="15.75" customHeight="1" x14ac:dyDescent="0.15">
      <c r="A294" s="40"/>
      <c r="F294" s="40"/>
      <c r="G294" s="42"/>
      <c r="H294" s="42"/>
      <c r="I294" s="42"/>
      <c r="J294" s="42"/>
      <c r="K294" s="40"/>
      <c r="L294" s="42"/>
      <c r="M294" s="40"/>
    </row>
    <row r="295" spans="1:13" ht="15.75" customHeight="1" x14ac:dyDescent="0.15">
      <c r="A295" s="40"/>
      <c r="F295" s="40"/>
      <c r="G295" s="42"/>
      <c r="H295" s="42"/>
      <c r="I295" s="42"/>
      <c r="J295" s="42"/>
      <c r="K295" s="40"/>
      <c r="L295" s="42"/>
      <c r="M295" s="40"/>
    </row>
    <row r="296" spans="1:13" ht="15.75" customHeight="1" x14ac:dyDescent="0.15">
      <c r="A296" s="40"/>
      <c r="F296" s="40"/>
      <c r="G296" s="42"/>
      <c r="H296" s="42"/>
      <c r="I296" s="42"/>
      <c r="J296" s="42"/>
      <c r="K296" s="40"/>
      <c r="L296" s="42"/>
      <c r="M296" s="40"/>
    </row>
    <row r="297" spans="1:13" ht="15.75" customHeight="1" x14ac:dyDescent="0.15">
      <c r="A297" s="40"/>
      <c r="F297" s="40"/>
      <c r="G297" s="42"/>
      <c r="H297" s="42"/>
      <c r="I297" s="42"/>
      <c r="J297" s="42"/>
      <c r="K297" s="40"/>
      <c r="L297" s="42"/>
      <c r="M297" s="40"/>
    </row>
    <row r="298" spans="1:13" ht="15.75" customHeight="1" x14ac:dyDescent="0.15">
      <c r="A298" s="40"/>
      <c r="F298" s="40"/>
      <c r="G298" s="42"/>
      <c r="H298" s="42"/>
      <c r="I298" s="42"/>
      <c r="J298" s="42"/>
      <c r="K298" s="40"/>
      <c r="L298" s="42"/>
      <c r="M298" s="40"/>
    </row>
    <row r="299" spans="1:13" ht="15.75" customHeight="1" x14ac:dyDescent="0.15">
      <c r="A299" s="40"/>
      <c r="F299" s="40"/>
      <c r="G299" s="42"/>
      <c r="H299" s="42"/>
      <c r="I299" s="42"/>
      <c r="J299" s="42"/>
      <c r="K299" s="40"/>
      <c r="L299" s="42"/>
      <c r="M299" s="40"/>
    </row>
    <row r="300" spans="1:13" ht="15.75" customHeight="1" x14ac:dyDescent="0.15">
      <c r="A300" s="40"/>
      <c r="F300" s="40"/>
      <c r="G300" s="42"/>
      <c r="H300" s="42"/>
      <c r="I300" s="42"/>
      <c r="J300" s="42"/>
      <c r="K300" s="40"/>
      <c r="L300" s="42"/>
      <c r="M300" s="40"/>
    </row>
    <row r="301" spans="1:13" ht="15.75" customHeight="1" x14ac:dyDescent="0.15">
      <c r="A301" s="40"/>
      <c r="F301" s="40"/>
      <c r="G301" s="42"/>
      <c r="H301" s="42"/>
      <c r="I301" s="42"/>
      <c r="J301" s="42"/>
      <c r="K301" s="40"/>
      <c r="L301" s="42"/>
      <c r="M301" s="40"/>
    </row>
    <row r="302" spans="1:13" ht="15.75" customHeight="1" x14ac:dyDescent="0.15">
      <c r="A302" s="40"/>
      <c r="F302" s="40"/>
      <c r="G302" s="42"/>
      <c r="H302" s="42"/>
      <c r="I302" s="42"/>
      <c r="J302" s="42"/>
      <c r="K302" s="40"/>
      <c r="L302" s="42"/>
      <c r="M302" s="40"/>
    </row>
    <row r="303" spans="1:13" ht="15.75" customHeight="1" x14ac:dyDescent="0.15">
      <c r="A303" s="40"/>
      <c r="F303" s="40"/>
      <c r="G303" s="42"/>
      <c r="H303" s="42"/>
      <c r="I303" s="42"/>
      <c r="J303" s="42"/>
      <c r="K303" s="40"/>
      <c r="L303" s="42"/>
      <c r="M303" s="40"/>
    </row>
    <row r="304" spans="1:13" ht="15.75" customHeight="1" x14ac:dyDescent="0.15">
      <c r="A304" s="40"/>
      <c r="F304" s="40"/>
      <c r="G304" s="42"/>
      <c r="H304" s="42"/>
      <c r="I304" s="42"/>
      <c r="J304" s="42"/>
      <c r="K304" s="40"/>
      <c r="L304" s="42"/>
      <c r="M304" s="40"/>
    </row>
    <row r="305" spans="1:13" ht="15.75" customHeight="1" x14ac:dyDescent="0.15">
      <c r="A305" s="40"/>
      <c r="F305" s="40"/>
      <c r="G305" s="42"/>
      <c r="H305" s="42"/>
      <c r="I305" s="42"/>
      <c r="J305" s="42"/>
      <c r="K305" s="40"/>
      <c r="L305" s="42"/>
      <c r="M305" s="40"/>
    </row>
    <row r="306" spans="1:13" ht="15.75" customHeight="1" x14ac:dyDescent="0.15">
      <c r="A306" s="40"/>
      <c r="F306" s="40"/>
      <c r="G306" s="42"/>
      <c r="H306" s="42"/>
      <c r="I306" s="42"/>
      <c r="J306" s="42"/>
      <c r="K306" s="40"/>
      <c r="L306" s="42"/>
      <c r="M306" s="40"/>
    </row>
    <row r="307" spans="1:13" ht="15.75" customHeight="1" x14ac:dyDescent="0.15">
      <c r="A307" s="40"/>
      <c r="F307" s="40"/>
      <c r="G307" s="42"/>
      <c r="H307" s="42"/>
      <c r="I307" s="42"/>
      <c r="J307" s="42"/>
      <c r="K307" s="40"/>
      <c r="L307" s="42"/>
      <c r="M307" s="40"/>
    </row>
    <row r="308" spans="1:13" ht="15.75" customHeight="1" x14ac:dyDescent="0.15">
      <c r="A308" s="40"/>
      <c r="F308" s="40"/>
      <c r="G308" s="42"/>
      <c r="H308" s="42"/>
      <c r="I308" s="42"/>
      <c r="J308" s="42"/>
      <c r="K308" s="40"/>
      <c r="L308" s="42"/>
      <c r="M308" s="40"/>
    </row>
    <row r="309" spans="1:13" ht="15.75" customHeight="1" x14ac:dyDescent="0.15">
      <c r="A309" s="40"/>
      <c r="F309" s="40"/>
      <c r="G309" s="42"/>
      <c r="H309" s="42"/>
      <c r="I309" s="42"/>
      <c r="J309" s="42"/>
      <c r="K309" s="40"/>
      <c r="L309" s="42"/>
      <c r="M309" s="40"/>
    </row>
    <row r="310" spans="1:13" ht="15.75" customHeight="1" x14ac:dyDescent="0.15">
      <c r="A310" s="40"/>
      <c r="F310" s="40"/>
      <c r="G310" s="42"/>
      <c r="H310" s="42"/>
      <c r="I310" s="42"/>
      <c r="J310" s="42"/>
      <c r="K310" s="40"/>
      <c r="L310" s="42"/>
      <c r="M310" s="40"/>
    </row>
    <row r="311" spans="1:13" ht="15.75" customHeight="1" x14ac:dyDescent="0.15">
      <c r="A311" s="40"/>
      <c r="F311" s="40"/>
      <c r="G311" s="42"/>
      <c r="H311" s="42"/>
      <c r="I311" s="42"/>
      <c r="J311" s="42"/>
      <c r="K311" s="40"/>
      <c r="L311" s="42"/>
      <c r="M311" s="40"/>
    </row>
    <row r="312" spans="1:13" ht="15.75" customHeight="1" x14ac:dyDescent="0.15">
      <c r="A312" s="40"/>
      <c r="F312" s="40"/>
      <c r="G312" s="42"/>
      <c r="H312" s="42"/>
      <c r="I312" s="42"/>
      <c r="J312" s="42"/>
      <c r="K312" s="40"/>
      <c r="L312" s="42"/>
      <c r="M312" s="40"/>
    </row>
    <row r="313" spans="1:13" ht="15.75" customHeight="1" x14ac:dyDescent="0.15">
      <c r="A313" s="40"/>
      <c r="F313" s="40"/>
      <c r="G313" s="42"/>
      <c r="H313" s="42"/>
      <c r="I313" s="42"/>
      <c r="J313" s="42"/>
      <c r="K313" s="40"/>
      <c r="L313" s="42"/>
      <c r="M313" s="40"/>
    </row>
    <row r="314" spans="1:13" ht="15.75" customHeight="1" x14ac:dyDescent="0.15">
      <c r="A314" s="40"/>
      <c r="F314" s="40"/>
      <c r="G314" s="42"/>
      <c r="H314" s="42"/>
      <c r="I314" s="42"/>
      <c r="J314" s="42"/>
      <c r="K314" s="40"/>
      <c r="L314" s="42"/>
      <c r="M314" s="40"/>
    </row>
    <row r="315" spans="1:13" ht="15.75" customHeight="1" x14ac:dyDescent="0.15">
      <c r="A315" s="40"/>
      <c r="F315" s="40"/>
      <c r="G315" s="42"/>
      <c r="H315" s="42"/>
      <c r="I315" s="42"/>
      <c r="J315" s="42"/>
      <c r="K315" s="40"/>
      <c r="L315" s="42"/>
      <c r="M315" s="40"/>
    </row>
    <row r="316" spans="1:13" ht="15.75" customHeight="1" x14ac:dyDescent="0.15">
      <c r="A316" s="40"/>
      <c r="F316" s="40"/>
      <c r="G316" s="42"/>
      <c r="H316" s="42"/>
      <c r="I316" s="42"/>
      <c r="J316" s="42"/>
      <c r="K316" s="40"/>
      <c r="L316" s="42"/>
      <c r="M316" s="40"/>
    </row>
    <row r="317" spans="1:13" ht="15.75" customHeight="1" x14ac:dyDescent="0.15">
      <c r="A317" s="40"/>
      <c r="F317" s="40"/>
      <c r="G317" s="42"/>
      <c r="H317" s="42"/>
      <c r="I317" s="42"/>
      <c r="J317" s="42"/>
      <c r="K317" s="40"/>
      <c r="L317" s="42"/>
      <c r="M317" s="40"/>
    </row>
    <row r="318" spans="1:13" ht="15.75" customHeight="1" x14ac:dyDescent="0.15">
      <c r="A318" s="40"/>
      <c r="F318" s="40"/>
      <c r="G318" s="42"/>
      <c r="H318" s="42"/>
      <c r="I318" s="42"/>
      <c r="J318" s="42"/>
      <c r="K318" s="40"/>
      <c r="L318" s="42"/>
      <c r="M318" s="40"/>
    </row>
    <row r="319" spans="1:13" ht="15.75" customHeight="1" x14ac:dyDescent="0.15">
      <c r="A319" s="40"/>
      <c r="F319" s="40"/>
      <c r="G319" s="42"/>
      <c r="H319" s="42"/>
      <c r="I319" s="42"/>
      <c r="J319" s="42"/>
      <c r="K319" s="40"/>
      <c r="L319" s="42"/>
      <c r="M319" s="40"/>
    </row>
    <row r="320" spans="1:13" ht="15.75" customHeight="1" x14ac:dyDescent="0.15">
      <c r="A320" s="40"/>
      <c r="F320" s="40"/>
      <c r="G320" s="42"/>
      <c r="H320" s="42"/>
      <c r="I320" s="42"/>
      <c r="J320" s="42"/>
      <c r="K320" s="40"/>
      <c r="L320" s="42"/>
      <c r="M320" s="40"/>
    </row>
    <row r="321" spans="1:13" ht="15.75" customHeight="1" x14ac:dyDescent="0.15">
      <c r="A321" s="40"/>
      <c r="F321" s="40"/>
      <c r="G321" s="42"/>
      <c r="H321" s="42"/>
      <c r="I321" s="42"/>
      <c r="J321" s="42"/>
      <c r="K321" s="40"/>
      <c r="L321" s="42"/>
      <c r="M321" s="40"/>
    </row>
    <row r="322" spans="1:13" ht="15.75" customHeight="1" x14ac:dyDescent="0.15">
      <c r="A322" s="40"/>
      <c r="F322" s="40"/>
      <c r="G322" s="42"/>
      <c r="H322" s="42"/>
      <c r="I322" s="42"/>
      <c r="J322" s="42"/>
      <c r="K322" s="40"/>
      <c r="L322" s="42"/>
      <c r="M322" s="40"/>
    </row>
    <row r="323" spans="1:13" ht="15.75" customHeight="1" x14ac:dyDescent="0.15">
      <c r="A323" s="40"/>
      <c r="F323" s="40"/>
      <c r="G323" s="42"/>
      <c r="H323" s="42"/>
      <c r="I323" s="42"/>
      <c r="J323" s="42"/>
      <c r="K323" s="40"/>
      <c r="L323" s="42"/>
      <c r="M323" s="40"/>
    </row>
    <row r="324" spans="1:13" ht="15.75" customHeight="1" x14ac:dyDescent="0.15">
      <c r="A324" s="40"/>
      <c r="F324" s="40"/>
      <c r="G324" s="42"/>
      <c r="H324" s="42"/>
      <c r="I324" s="42"/>
      <c r="J324" s="42"/>
      <c r="K324" s="40"/>
      <c r="L324" s="42"/>
      <c r="M324" s="40"/>
    </row>
    <row r="325" spans="1:13" ht="15.75" customHeight="1" x14ac:dyDescent="0.15">
      <c r="A325" s="40"/>
      <c r="F325" s="40"/>
      <c r="G325" s="42"/>
      <c r="H325" s="42"/>
      <c r="I325" s="42"/>
      <c r="J325" s="42"/>
      <c r="K325" s="40"/>
      <c r="L325" s="42"/>
      <c r="M325" s="40"/>
    </row>
    <row r="326" spans="1:13" ht="15.75" customHeight="1" x14ac:dyDescent="0.15">
      <c r="A326" s="40"/>
      <c r="F326" s="40"/>
      <c r="G326" s="42"/>
      <c r="H326" s="42"/>
      <c r="I326" s="42"/>
      <c r="J326" s="42"/>
      <c r="K326" s="40"/>
      <c r="L326" s="42"/>
      <c r="M326" s="40"/>
    </row>
    <row r="327" spans="1:13" ht="15.75" customHeight="1" x14ac:dyDescent="0.15">
      <c r="A327" s="40"/>
      <c r="F327" s="40"/>
      <c r="G327" s="42"/>
      <c r="H327" s="42"/>
      <c r="I327" s="42"/>
      <c r="J327" s="42"/>
      <c r="K327" s="40"/>
      <c r="L327" s="42"/>
      <c r="M327" s="40"/>
    </row>
    <row r="328" spans="1:13" ht="15.75" customHeight="1" x14ac:dyDescent="0.15">
      <c r="A328" s="40"/>
      <c r="F328" s="40"/>
      <c r="G328" s="42"/>
      <c r="H328" s="42"/>
      <c r="I328" s="42"/>
      <c r="J328" s="42"/>
      <c r="K328" s="40"/>
      <c r="L328" s="42"/>
      <c r="M328" s="40"/>
    </row>
    <row r="329" spans="1:13" ht="15.75" customHeight="1" x14ac:dyDescent="0.15">
      <c r="A329" s="40"/>
      <c r="F329" s="40"/>
      <c r="G329" s="42"/>
      <c r="H329" s="42"/>
      <c r="I329" s="42"/>
      <c r="J329" s="42"/>
      <c r="K329" s="40"/>
      <c r="L329" s="42"/>
      <c r="M329" s="40"/>
    </row>
    <row r="330" spans="1:13" ht="15.75" customHeight="1" x14ac:dyDescent="0.15">
      <c r="A330" s="40"/>
      <c r="F330" s="40"/>
      <c r="G330" s="42"/>
      <c r="H330" s="42"/>
      <c r="I330" s="42"/>
      <c r="J330" s="42"/>
      <c r="K330" s="40"/>
      <c r="L330" s="42"/>
      <c r="M330" s="40"/>
    </row>
    <row r="331" spans="1:13" ht="15.75" customHeight="1" x14ac:dyDescent="0.15">
      <c r="A331" s="40"/>
      <c r="F331" s="40"/>
      <c r="G331" s="42"/>
      <c r="H331" s="42"/>
      <c r="I331" s="42"/>
      <c r="J331" s="42"/>
      <c r="K331" s="40"/>
      <c r="L331" s="42"/>
      <c r="M331" s="40"/>
    </row>
    <row r="332" spans="1:13" ht="15.75" customHeight="1" x14ac:dyDescent="0.15">
      <c r="A332" s="40"/>
      <c r="F332" s="40"/>
      <c r="G332" s="42"/>
      <c r="H332" s="42"/>
      <c r="I332" s="42"/>
      <c r="J332" s="42"/>
      <c r="K332" s="40"/>
      <c r="L332" s="42"/>
      <c r="M332" s="40"/>
    </row>
    <row r="333" spans="1:13" ht="15.75" customHeight="1" x14ac:dyDescent="0.15">
      <c r="A333" s="40"/>
      <c r="F333" s="40"/>
      <c r="G333" s="42"/>
      <c r="H333" s="42"/>
      <c r="I333" s="42"/>
      <c r="J333" s="42"/>
      <c r="K333" s="40"/>
      <c r="L333" s="42"/>
      <c r="M333" s="40"/>
    </row>
    <row r="334" spans="1:13" ht="15.75" customHeight="1" x14ac:dyDescent="0.15">
      <c r="A334" s="40"/>
      <c r="F334" s="40"/>
      <c r="G334" s="42"/>
      <c r="H334" s="42"/>
      <c r="I334" s="42"/>
      <c r="J334" s="42"/>
      <c r="K334" s="40"/>
      <c r="L334" s="42"/>
      <c r="M334" s="40"/>
    </row>
    <row r="335" spans="1:13" ht="15.75" customHeight="1" x14ac:dyDescent="0.15">
      <c r="A335" s="40"/>
      <c r="F335" s="40"/>
      <c r="G335" s="42"/>
      <c r="H335" s="42"/>
      <c r="I335" s="42"/>
      <c r="J335" s="42"/>
      <c r="K335" s="40"/>
      <c r="L335" s="42"/>
      <c r="M335" s="40"/>
    </row>
    <row r="336" spans="1:13" ht="15.75" customHeight="1" x14ac:dyDescent="0.15">
      <c r="A336" s="40"/>
      <c r="F336" s="40"/>
      <c r="G336" s="42"/>
      <c r="H336" s="42"/>
      <c r="I336" s="42"/>
      <c r="J336" s="42"/>
      <c r="K336" s="40"/>
      <c r="L336" s="42"/>
      <c r="M336" s="40"/>
    </row>
    <row r="337" spans="1:13" ht="15.75" customHeight="1" x14ac:dyDescent="0.15">
      <c r="A337" s="40"/>
      <c r="F337" s="40"/>
      <c r="G337" s="42"/>
      <c r="H337" s="42"/>
      <c r="I337" s="42"/>
      <c r="J337" s="42"/>
      <c r="K337" s="40"/>
      <c r="L337" s="42"/>
      <c r="M337" s="40"/>
    </row>
    <row r="338" spans="1:13" ht="15.75" customHeight="1" x14ac:dyDescent="0.15">
      <c r="A338" s="40"/>
      <c r="F338" s="40"/>
      <c r="G338" s="42"/>
      <c r="H338" s="42"/>
      <c r="I338" s="42"/>
      <c r="J338" s="42"/>
      <c r="K338" s="40"/>
      <c r="L338" s="42"/>
      <c r="M338" s="40"/>
    </row>
    <row r="339" spans="1:13" ht="15.75" customHeight="1" x14ac:dyDescent="0.15">
      <c r="A339" s="40"/>
      <c r="F339" s="40"/>
      <c r="G339" s="42"/>
      <c r="H339" s="42"/>
      <c r="I339" s="42"/>
      <c r="J339" s="42"/>
      <c r="K339" s="40"/>
      <c r="L339" s="42"/>
      <c r="M339" s="40"/>
    </row>
    <row r="340" spans="1:13" ht="15.75" customHeight="1" x14ac:dyDescent="0.15">
      <c r="A340" s="40"/>
      <c r="F340" s="40"/>
      <c r="G340" s="42"/>
      <c r="H340" s="42"/>
      <c r="I340" s="42"/>
      <c r="J340" s="42"/>
      <c r="K340" s="40"/>
      <c r="L340" s="42"/>
      <c r="M340" s="40"/>
    </row>
    <row r="341" spans="1:13" ht="15.75" customHeight="1" x14ac:dyDescent="0.15">
      <c r="A341" s="40"/>
      <c r="F341" s="40"/>
      <c r="G341" s="42"/>
      <c r="H341" s="42"/>
      <c r="I341" s="42"/>
      <c r="J341" s="42"/>
      <c r="K341" s="40"/>
      <c r="L341" s="42"/>
      <c r="M341" s="40"/>
    </row>
    <row r="342" spans="1:13" ht="15.75" customHeight="1" x14ac:dyDescent="0.15">
      <c r="A342" s="40"/>
      <c r="F342" s="40"/>
      <c r="G342" s="42"/>
      <c r="H342" s="42"/>
      <c r="I342" s="42"/>
      <c r="J342" s="42"/>
      <c r="K342" s="40"/>
      <c r="L342" s="42"/>
      <c r="M342" s="40"/>
    </row>
    <row r="343" spans="1:13" ht="15.75" customHeight="1" x14ac:dyDescent="0.15">
      <c r="A343" s="40"/>
      <c r="F343" s="40"/>
      <c r="G343" s="42"/>
      <c r="H343" s="42"/>
      <c r="I343" s="42"/>
      <c r="J343" s="42"/>
      <c r="K343" s="40"/>
      <c r="L343" s="42"/>
      <c r="M343" s="40"/>
    </row>
    <row r="344" spans="1:13" ht="15.75" customHeight="1" x14ac:dyDescent="0.15">
      <c r="A344" s="40"/>
      <c r="F344" s="40"/>
      <c r="G344" s="42"/>
      <c r="H344" s="42"/>
      <c r="I344" s="42"/>
      <c r="J344" s="42"/>
      <c r="K344" s="40"/>
      <c r="L344" s="42"/>
      <c r="M344" s="40"/>
    </row>
    <row r="345" spans="1:13" ht="15.75" customHeight="1" x14ac:dyDescent="0.15">
      <c r="A345" s="40"/>
      <c r="F345" s="40"/>
      <c r="G345" s="42"/>
      <c r="H345" s="42"/>
      <c r="I345" s="42"/>
      <c r="J345" s="42"/>
      <c r="K345" s="40"/>
      <c r="L345" s="42"/>
      <c r="M345" s="40"/>
    </row>
    <row r="346" spans="1:13" ht="15.75" customHeight="1" x14ac:dyDescent="0.15">
      <c r="A346" s="40"/>
      <c r="F346" s="40"/>
      <c r="G346" s="42"/>
      <c r="H346" s="42"/>
      <c r="I346" s="42"/>
      <c r="J346" s="42"/>
      <c r="K346" s="40"/>
      <c r="L346" s="42"/>
      <c r="M346" s="40"/>
    </row>
    <row r="347" spans="1:13" ht="15.75" customHeight="1" x14ac:dyDescent="0.15">
      <c r="A347" s="40"/>
      <c r="F347" s="40"/>
      <c r="G347" s="42"/>
      <c r="H347" s="42"/>
      <c r="I347" s="42"/>
      <c r="J347" s="42"/>
      <c r="K347" s="40"/>
      <c r="L347" s="42"/>
      <c r="M347" s="40"/>
    </row>
    <row r="348" spans="1:13" ht="15.75" customHeight="1" x14ac:dyDescent="0.15">
      <c r="A348" s="40"/>
      <c r="F348" s="40"/>
      <c r="G348" s="42"/>
      <c r="H348" s="42"/>
      <c r="I348" s="42"/>
      <c r="J348" s="42"/>
      <c r="K348" s="40"/>
      <c r="L348" s="42"/>
      <c r="M348" s="40"/>
    </row>
    <row r="349" spans="1:13" ht="15.75" customHeight="1" x14ac:dyDescent="0.15">
      <c r="A349" s="40"/>
      <c r="F349" s="40"/>
      <c r="G349" s="42"/>
      <c r="H349" s="42"/>
      <c r="I349" s="42"/>
      <c r="J349" s="42"/>
      <c r="K349" s="40"/>
      <c r="L349" s="42"/>
      <c r="M349" s="40"/>
    </row>
    <row r="350" spans="1:13" ht="15.75" customHeight="1" x14ac:dyDescent="0.15">
      <c r="A350" s="40"/>
      <c r="F350" s="40"/>
      <c r="G350" s="42"/>
      <c r="H350" s="42"/>
      <c r="I350" s="42"/>
      <c r="J350" s="42"/>
      <c r="K350" s="40"/>
      <c r="L350" s="42"/>
      <c r="M350" s="40"/>
    </row>
    <row r="351" spans="1:13" ht="15.75" customHeight="1" x14ac:dyDescent="0.15">
      <c r="A351" s="40"/>
      <c r="F351" s="40"/>
      <c r="G351" s="42"/>
      <c r="H351" s="42"/>
      <c r="I351" s="42"/>
      <c r="J351" s="42"/>
      <c r="K351" s="40"/>
      <c r="L351" s="42"/>
      <c r="M351" s="40"/>
    </row>
    <row r="352" spans="1:13" ht="15.75" customHeight="1" x14ac:dyDescent="0.15">
      <c r="A352" s="40"/>
      <c r="F352" s="40"/>
      <c r="G352" s="42"/>
      <c r="H352" s="42"/>
      <c r="I352" s="42"/>
      <c r="J352" s="42"/>
      <c r="K352" s="40"/>
      <c r="L352" s="42"/>
      <c r="M352" s="40"/>
    </row>
    <row r="353" spans="1:13" ht="15.75" customHeight="1" x14ac:dyDescent="0.15">
      <c r="A353" s="40"/>
      <c r="F353" s="40"/>
      <c r="G353" s="42"/>
      <c r="H353" s="42"/>
      <c r="I353" s="42"/>
      <c r="J353" s="42"/>
      <c r="K353" s="40"/>
      <c r="L353" s="42"/>
      <c r="M353" s="40"/>
    </row>
    <row r="354" spans="1:13" ht="15.75" customHeight="1" x14ac:dyDescent="0.15">
      <c r="A354" s="40"/>
      <c r="F354" s="40"/>
      <c r="G354" s="42"/>
      <c r="H354" s="42"/>
      <c r="I354" s="42"/>
      <c r="J354" s="42"/>
      <c r="K354" s="40"/>
      <c r="L354" s="42"/>
      <c r="M354" s="40"/>
    </row>
    <row r="355" spans="1:13" ht="15.75" customHeight="1" x14ac:dyDescent="0.15">
      <c r="A355" s="40"/>
      <c r="F355" s="40"/>
      <c r="G355" s="42"/>
      <c r="H355" s="42"/>
      <c r="I355" s="42"/>
      <c r="J355" s="42"/>
      <c r="K355" s="40"/>
      <c r="L355" s="42"/>
      <c r="M355" s="40"/>
    </row>
    <row r="356" spans="1:13" ht="15.75" customHeight="1" x14ac:dyDescent="0.15">
      <c r="A356" s="40"/>
      <c r="F356" s="40"/>
      <c r="G356" s="42"/>
      <c r="H356" s="42"/>
      <c r="I356" s="42"/>
      <c r="J356" s="42"/>
      <c r="K356" s="40"/>
      <c r="L356" s="42"/>
      <c r="M356" s="40"/>
    </row>
    <row r="357" spans="1:13" ht="15.75" customHeight="1" x14ac:dyDescent="0.15">
      <c r="A357" s="40"/>
      <c r="F357" s="40"/>
      <c r="G357" s="42"/>
      <c r="H357" s="42"/>
      <c r="I357" s="42"/>
      <c r="J357" s="42"/>
      <c r="K357" s="40"/>
      <c r="L357" s="42"/>
      <c r="M357" s="40"/>
    </row>
    <row r="358" spans="1:13" ht="15.75" customHeight="1" x14ac:dyDescent="0.15">
      <c r="A358" s="40"/>
      <c r="F358" s="40"/>
      <c r="G358" s="42"/>
      <c r="H358" s="42"/>
      <c r="I358" s="42"/>
      <c r="J358" s="42"/>
      <c r="K358" s="40"/>
      <c r="L358" s="42"/>
      <c r="M358" s="40"/>
    </row>
    <row r="359" spans="1:13" ht="15.75" customHeight="1" x14ac:dyDescent="0.15">
      <c r="A359" s="40"/>
      <c r="F359" s="40"/>
      <c r="G359" s="42"/>
      <c r="H359" s="42"/>
      <c r="I359" s="42"/>
      <c r="J359" s="42"/>
      <c r="K359" s="40"/>
      <c r="L359" s="42"/>
      <c r="M359" s="40"/>
    </row>
    <row r="360" spans="1:13" ht="15.75" customHeight="1" x14ac:dyDescent="0.15">
      <c r="A360" s="40"/>
      <c r="F360" s="40"/>
      <c r="G360" s="42"/>
      <c r="H360" s="42"/>
      <c r="I360" s="42"/>
      <c r="J360" s="42"/>
      <c r="K360" s="40"/>
      <c r="L360" s="42"/>
      <c r="M360" s="40"/>
    </row>
    <row r="361" spans="1:13" ht="15.75" customHeight="1" x14ac:dyDescent="0.15">
      <c r="A361" s="40"/>
      <c r="F361" s="40"/>
      <c r="G361" s="42"/>
      <c r="H361" s="42"/>
      <c r="I361" s="42"/>
      <c r="J361" s="42"/>
      <c r="K361" s="40"/>
      <c r="L361" s="42"/>
      <c r="M361" s="40"/>
    </row>
    <row r="362" spans="1:13" ht="15.75" customHeight="1" x14ac:dyDescent="0.15">
      <c r="A362" s="40"/>
      <c r="F362" s="40"/>
      <c r="G362" s="42"/>
      <c r="H362" s="42"/>
      <c r="I362" s="42"/>
      <c r="J362" s="42"/>
      <c r="K362" s="40"/>
      <c r="L362" s="42"/>
      <c r="M362" s="40"/>
    </row>
    <row r="363" spans="1:13" ht="15.75" customHeight="1" x14ac:dyDescent="0.15">
      <c r="A363" s="40"/>
      <c r="F363" s="40"/>
      <c r="G363" s="42"/>
      <c r="H363" s="42"/>
      <c r="I363" s="42"/>
      <c r="J363" s="42"/>
      <c r="K363" s="40"/>
      <c r="L363" s="42"/>
      <c r="M363" s="40"/>
    </row>
    <row r="364" spans="1:13" ht="15.75" customHeight="1" x14ac:dyDescent="0.15">
      <c r="A364" s="40"/>
      <c r="F364" s="40"/>
      <c r="G364" s="42"/>
      <c r="H364" s="42"/>
      <c r="I364" s="42"/>
      <c r="J364" s="42"/>
      <c r="K364" s="40"/>
      <c r="L364" s="42"/>
      <c r="M364" s="40"/>
    </row>
    <row r="365" spans="1:13" ht="15.75" customHeight="1" x14ac:dyDescent="0.15">
      <c r="A365" s="40"/>
      <c r="F365" s="40"/>
      <c r="G365" s="42"/>
      <c r="H365" s="42"/>
      <c r="I365" s="42"/>
      <c r="J365" s="42"/>
      <c r="K365" s="40"/>
      <c r="L365" s="42"/>
      <c r="M365" s="40"/>
    </row>
    <row r="366" spans="1:13" ht="15.75" customHeight="1" x14ac:dyDescent="0.15">
      <c r="A366" s="40"/>
      <c r="F366" s="40"/>
      <c r="G366" s="42"/>
      <c r="H366" s="42"/>
      <c r="I366" s="42"/>
      <c r="J366" s="42"/>
      <c r="K366" s="40"/>
      <c r="L366" s="42"/>
      <c r="M366" s="40"/>
    </row>
    <row r="367" spans="1:13" ht="15.75" customHeight="1" x14ac:dyDescent="0.15">
      <c r="A367" s="40"/>
      <c r="F367" s="40"/>
      <c r="G367" s="42"/>
      <c r="H367" s="42"/>
      <c r="I367" s="42"/>
      <c r="J367" s="42"/>
      <c r="K367" s="40"/>
      <c r="L367" s="42"/>
      <c r="M367" s="40"/>
    </row>
    <row r="368" spans="1:13" ht="15.75" customHeight="1" x14ac:dyDescent="0.15">
      <c r="A368" s="40"/>
      <c r="F368" s="40"/>
      <c r="G368" s="42"/>
      <c r="H368" s="42"/>
      <c r="I368" s="42"/>
      <c r="J368" s="42"/>
      <c r="K368" s="40"/>
      <c r="L368" s="42"/>
      <c r="M368" s="40"/>
    </row>
    <row r="369" spans="1:13" ht="15.75" customHeight="1" x14ac:dyDescent="0.15">
      <c r="A369" s="40"/>
      <c r="F369" s="40"/>
      <c r="G369" s="42"/>
      <c r="H369" s="42"/>
      <c r="I369" s="42"/>
      <c r="J369" s="42"/>
      <c r="K369" s="40"/>
      <c r="L369" s="42"/>
      <c r="M369" s="40"/>
    </row>
    <row r="370" spans="1:13" ht="15.75" customHeight="1" x14ac:dyDescent="0.15">
      <c r="A370" s="40"/>
      <c r="F370" s="40"/>
      <c r="G370" s="42"/>
      <c r="H370" s="42"/>
      <c r="I370" s="42"/>
      <c r="J370" s="42"/>
      <c r="K370" s="40"/>
      <c r="L370" s="42"/>
      <c r="M370" s="40"/>
    </row>
    <row r="371" spans="1:13" ht="15.75" customHeight="1" x14ac:dyDescent="0.15">
      <c r="A371" s="40"/>
      <c r="F371" s="40"/>
      <c r="G371" s="42"/>
      <c r="H371" s="42"/>
      <c r="I371" s="42"/>
      <c r="J371" s="42"/>
      <c r="K371" s="40"/>
      <c r="L371" s="42"/>
      <c r="M371" s="40"/>
    </row>
    <row r="372" spans="1:13" ht="15.75" customHeight="1" x14ac:dyDescent="0.15">
      <c r="A372" s="40"/>
      <c r="F372" s="40"/>
      <c r="G372" s="42"/>
      <c r="H372" s="42"/>
      <c r="I372" s="42"/>
      <c r="J372" s="42"/>
      <c r="K372" s="40"/>
      <c r="L372" s="42"/>
      <c r="M372" s="40"/>
    </row>
    <row r="373" spans="1:13" ht="15.75" customHeight="1" x14ac:dyDescent="0.15">
      <c r="A373" s="40"/>
      <c r="F373" s="40"/>
      <c r="G373" s="42"/>
      <c r="H373" s="42"/>
      <c r="I373" s="42"/>
      <c r="J373" s="42"/>
      <c r="K373" s="40"/>
      <c r="L373" s="42"/>
      <c r="M373" s="40"/>
    </row>
    <row r="374" spans="1:13" ht="15.75" customHeight="1" x14ac:dyDescent="0.15">
      <c r="A374" s="40"/>
      <c r="F374" s="40"/>
      <c r="G374" s="42"/>
      <c r="H374" s="42"/>
      <c r="I374" s="42"/>
      <c r="J374" s="42"/>
      <c r="K374" s="40"/>
      <c r="L374" s="42"/>
      <c r="M374" s="40"/>
    </row>
    <row r="375" spans="1:13" ht="15.75" customHeight="1" x14ac:dyDescent="0.15">
      <c r="A375" s="40"/>
      <c r="F375" s="40"/>
      <c r="G375" s="42"/>
      <c r="H375" s="42"/>
      <c r="I375" s="42"/>
      <c r="J375" s="42"/>
      <c r="K375" s="40"/>
      <c r="L375" s="42"/>
      <c r="M375" s="40"/>
    </row>
    <row r="376" spans="1:13" ht="15.75" customHeight="1" x14ac:dyDescent="0.15">
      <c r="A376" s="40"/>
      <c r="F376" s="40"/>
      <c r="G376" s="42"/>
      <c r="H376" s="42"/>
      <c r="I376" s="42"/>
      <c r="J376" s="42"/>
      <c r="K376" s="40"/>
      <c r="L376" s="42"/>
      <c r="M376" s="40"/>
    </row>
    <row r="377" spans="1:13" ht="15.75" customHeight="1" x14ac:dyDescent="0.15">
      <c r="A377" s="40"/>
      <c r="F377" s="40"/>
      <c r="G377" s="42"/>
      <c r="H377" s="42"/>
      <c r="I377" s="42"/>
      <c r="J377" s="42"/>
      <c r="K377" s="40"/>
      <c r="L377" s="42"/>
      <c r="M377" s="40"/>
    </row>
    <row r="378" spans="1:13" ht="15.75" customHeight="1" x14ac:dyDescent="0.15">
      <c r="A378" s="40"/>
      <c r="F378" s="40"/>
      <c r="G378" s="42"/>
      <c r="H378" s="42"/>
      <c r="I378" s="42"/>
      <c r="J378" s="42"/>
      <c r="K378" s="40"/>
      <c r="L378" s="42"/>
      <c r="M378" s="40"/>
    </row>
    <row r="379" spans="1:13" ht="15.75" customHeight="1" x14ac:dyDescent="0.15">
      <c r="A379" s="40"/>
      <c r="F379" s="40"/>
      <c r="G379" s="42"/>
      <c r="H379" s="42"/>
      <c r="I379" s="42"/>
      <c r="J379" s="42"/>
      <c r="K379" s="40"/>
      <c r="L379" s="42"/>
      <c r="M379" s="40"/>
    </row>
    <row r="380" spans="1:13" ht="15.75" customHeight="1" x14ac:dyDescent="0.15">
      <c r="A380" s="40"/>
      <c r="F380" s="40"/>
      <c r="G380" s="42"/>
      <c r="H380" s="42"/>
      <c r="I380" s="42"/>
      <c r="J380" s="42"/>
      <c r="K380" s="40"/>
      <c r="L380" s="42"/>
      <c r="M380" s="40"/>
    </row>
    <row r="381" spans="1:13" ht="15.75" customHeight="1" x14ac:dyDescent="0.15">
      <c r="A381" s="40"/>
      <c r="F381" s="40"/>
      <c r="G381" s="42"/>
      <c r="H381" s="42"/>
      <c r="I381" s="42"/>
      <c r="J381" s="42"/>
      <c r="K381" s="40"/>
      <c r="L381" s="42"/>
      <c r="M381" s="40"/>
    </row>
    <row r="382" spans="1:13" ht="15.75" customHeight="1" x14ac:dyDescent="0.15">
      <c r="A382" s="40"/>
      <c r="F382" s="40"/>
      <c r="G382" s="42"/>
      <c r="H382" s="42"/>
      <c r="I382" s="42"/>
      <c r="J382" s="42"/>
      <c r="K382" s="40"/>
      <c r="L382" s="42"/>
      <c r="M382" s="40"/>
    </row>
    <row r="383" spans="1:13" ht="15.75" customHeight="1" x14ac:dyDescent="0.15">
      <c r="A383" s="40"/>
      <c r="F383" s="40"/>
      <c r="G383" s="42"/>
      <c r="H383" s="42"/>
      <c r="I383" s="42"/>
      <c r="J383" s="42"/>
      <c r="K383" s="40"/>
      <c r="L383" s="42"/>
      <c r="M383" s="40"/>
    </row>
    <row r="384" spans="1:13" ht="15.75" customHeight="1" x14ac:dyDescent="0.15">
      <c r="A384" s="40"/>
      <c r="F384" s="40"/>
      <c r="G384" s="42"/>
      <c r="H384" s="42"/>
      <c r="I384" s="42"/>
      <c r="J384" s="42"/>
      <c r="K384" s="40"/>
      <c r="L384" s="42"/>
      <c r="M384" s="40"/>
    </row>
    <row r="385" spans="1:13" ht="15.75" customHeight="1" x14ac:dyDescent="0.15">
      <c r="A385" s="40"/>
      <c r="F385" s="40"/>
      <c r="G385" s="42"/>
      <c r="H385" s="42"/>
      <c r="I385" s="42"/>
      <c r="J385" s="42"/>
      <c r="K385" s="40"/>
      <c r="L385" s="42"/>
      <c r="M385" s="40"/>
    </row>
    <row r="386" spans="1:13" ht="15.75" customHeight="1" x14ac:dyDescent="0.15">
      <c r="A386" s="40"/>
      <c r="F386" s="40"/>
      <c r="G386" s="42"/>
      <c r="H386" s="42"/>
      <c r="I386" s="42"/>
      <c r="J386" s="42"/>
      <c r="K386" s="40"/>
      <c r="L386" s="42"/>
      <c r="M386" s="40"/>
    </row>
    <row r="387" spans="1:13" ht="15.75" customHeight="1" x14ac:dyDescent="0.15">
      <c r="A387" s="40"/>
      <c r="F387" s="40"/>
      <c r="G387" s="42"/>
      <c r="H387" s="42"/>
      <c r="I387" s="42"/>
      <c r="J387" s="42"/>
      <c r="K387" s="40"/>
      <c r="L387" s="42"/>
      <c r="M387" s="40"/>
    </row>
    <row r="388" spans="1:13" ht="15.75" customHeight="1" x14ac:dyDescent="0.15">
      <c r="A388" s="40"/>
      <c r="F388" s="40"/>
      <c r="G388" s="42"/>
      <c r="H388" s="42"/>
      <c r="I388" s="42"/>
      <c r="J388" s="42"/>
      <c r="K388" s="40"/>
      <c r="L388" s="42"/>
      <c r="M388" s="40"/>
    </row>
    <row r="389" spans="1:13" ht="15.75" customHeight="1" x14ac:dyDescent="0.15">
      <c r="A389" s="40"/>
      <c r="F389" s="40"/>
      <c r="G389" s="42"/>
      <c r="H389" s="42"/>
      <c r="I389" s="42"/>
      <c r="J389" s="42"/>
      <c r="K389" s="40"/>
      <c r="L389" s="42"/>
      <c r="M389" s="40"/>
    </row>
    <row r="390" spans="1:13" ht="15.75" customHeight="1" x14ac:dyDescent="0.15">
      <c r="A390" s="40"/>
      <c r="F390" s="40"/>
      <c r="G390" s="42"/>
      <c r="H390" s="42"/>
      <c r="I390" s="42"/>
      <c r="J390" s="42"/>
      <c r="K390" s="40"/>
      <c r="L390" s="42"/>
      <c r="M390" s="40"/>
    </row>
    <row r="391" spans="1:13" ht="15.75" customHeight="1" x14ac:dyDescent="0.15">
      <c r="A391" s="40"/>
      <c r="F391" s="40"/>
      <c r="G391" s="42"/>
      <c r="H391" s="42"/>
      <c r="I391" s="42"/>
      <c r="J391" s="42"/>
      <c r="K391" s="40"/>
      <c r="L391" s="42"/>
      <c r="M391" s="40"/>
    </row>
    <row r="392" spans="1:13" ht="15.75" customHeight="1" x14ac:dyDescent="0.15">
      <c r="A392" s="40"/>
      <c r="F392" s="40"/>
      <c r="G392" s="42"/>
      <c r="H392" s="42"/>
      <c r="I392" s="42"/>
      <c r="J392" s="42"/>
      <c r="K392" s="40"/>
      <c r="L392" s="42"/>
      <c r="M392" s="40"/>
    </row>
    <row r="393" spans="1:13" ht="15.75" customHeight="1" x14ac:dyDescent="0.15">
      <c r="A393" s="40"/>
      <c r="F393" s="40"/>
      <c r="G393" s="42"/>
      <c r="H393" s="42"/>
      <c r="I393" s="42"/>
      <c r="J393" s="42"/>
      <c r="K393" s="40"/>
      <c r="L393" s="42"/>
      <c r="M393" s="40"/>
    </row>
    <row r="394" spans="1:13" ht="15.75" customHeight="1" x14ac:dyDescent="0.15">
      <c r="A394" s="40"/>
      <c r="F394" s="40"/>
      <c r="G394" s="42"/>
      <c r="H394" s="42"/>
      <c r="I394" s="42"/>
      <c r="J394" s="42"/>
      <c r="K394" s="40"/>
      <c r="L394" s="42"/>
      <c r="M394" s="40"/>
    </row>
    <row r="395" spans="1:13" ht="15.75" customHeight="1" x14ac:dyDescent="0.15">
      <c r="A395" s="40"/>
      <c r="F395" s="40"/>
      <c r="G395" s="42"/>
      <c r="H395" s="42"/>
      <c r="I395" s="42"/>
      <c r="J395" s="42"/>
      <c r="K395" s="40"/>
      <c r="L395" s="42"/>
      <c r="M395" s="40"/>
    </row>
    <row r="396" spans="1:13" ht="15.75" customHeight="1" x14ac:dyDescent="0.15">
      <c r="A396" s="40"/>
      <c r="F396" s="40"/>
      <c r="G396" s="42"/>
      <c r="H396" s="42"/>
      <c r="I396" s="42"/>
      <c r="J396" s="42"/>
      <c r="K396" s="40"/>
      <c r="L396" s="42"/>
      <c r="M396" s="40"/>
    </row>
    <row r="397" spans="1:13" ht="15.75" customHeight="1" x14ac:dyDescent="0.15">
      <c r="A397" s="40"/>
      <c r="F397" s="40"/>
      <c r="G397" s="42"/>
      <c r="H397" s="42"/>
      <c r="I397" s="42"/>
      <c r="J397" s="42"/>
      <c r="K397" s="40"/>
      <c r="L397" s="42"/>
      <c r="M397" s="40"/>
    </row>
    <row r="398" spans="1:13" ht="15.75" customHeight="1" x14ac:dyDescent="0.15">
      <c r="A398" s="40"/>
      <c r="F398" s="40"/>
      <c r="G398" s="42"/>
      <c r="H398" s="42"/>
      <c r="I398" s="42"/>
      <c r="J398" s="42"/>
      <c r="K398" s="40"/>
      <c r="L398" s="42"/>
      <c r="M398" s="40"/>
    </row>
    <row r="399" spans="1:13" ht="15.75" customHeight="1" x14ac:dyDescent="0.15">
      <c r="A399" s="40"/>
      <c r="F399" s="40"/>
      <c r="G399" s="42"/>
      <c r="H399" s="42"/>
      <c r="I399" s="42"/>
      <c r="J399" s="42"/>
      <c r="K399" s="40"/>
      <c r="L399" s="42"/>
      <c r="M399" s="40"/>
    </row>
    <row r="400" spans="1:13" ht="15.75" customHeight="1" x14ac:dyDescent="0.15">
      <c r="A400" s="40"/>
      <c r="F400" s="40"/>
      <c r="G400" s="42"/>
      <c r="H400" s="42"/>
      <c r="I400" s="42"/>
      <c r="J400" s="42"/>
      <c r="K400" s="40"/>
      <c r="L400" s="42"/>
      <c r="M400" s="40"/>
    </row>
    <row r="401" spans="1:13" ht="15.75" customHeight="1" x14ac:dyDescent="0.15">
      <c r="A401" s="40"/>
      <c r="F401" s="40"/>
      <c r="G401" s="42"/>
      <c r="H401" s="42"/>
      <c r="I401" s="42"/>
      <c r="J401" s="42"/>
      <c r="K401" s="40"/>
      <c r="L401" s="42"/>
      <c r="M401" s="40"/>
    </row>
    <row r="402" spans="1:13" ht="15.75" customHeight="1" x14ac:dyDescent="0.15">
      <c r="A402" s="40"/>
      <c r="F402" s="40"/>
      <c r="G402" s="42"/>
      <c r="H402" s="42"/>
      <c r="I402" s="42"/>
      <c r="J402" s="42"/>
      <c r="K402" s="40"/>
      <c r="L402" s="42"/>
      <c r="M402" s="40"/>
    </row>
    <row r="403" spans="1:13" ht="15.75" customHeight="1" x14ac:dyDescent="0.15">
      <c r="A403" s="40"/>
      <c r="F403" s="40"/>
      <c r="G403" s="42"/>
      <c r="H403" s="42"/>
      <c r="I403" s="42"/>
      <c r="J403" s="42"/>
      <c r="K403" s="40"/>
      <c r="L403" s="42"/>
      <c r="M403" s="40"/>
    </row>
    <row r="404" spans="1:13" ht="15.75" customHeight="1" x14ac:dyDescent="0.15">
      <c r="A404" s="40"/>
      <c r="F404" s="40"/>
      <c r="G404" s="42"/>
      <c r="H404" s="42"/>
      <c r="I404" s="42"/>
      <c r="J404" s="42"/>
      <c r="K404" s="40"/>
      <c r="L404" s="42"/>
      <c r="M404" s="40"/>
    </row>
    <row r="405" spans="1:13" ht="15.75" customHeight="1" x14ac:dyDescent="0.15">
      <c r="A405" s="40"/>
      <c r="F405" s="40"/>
      <c r="G405" s="42"/>
      <c r="H405" s="42"/>
      <c r="I405" s="42"/>
      <c r="J405" s="42"/>
      <c r="K405" s="40"/>
      <c r="L405" s="42"/>
      <c r="M405" s="40"/>
    </row>
    <row r="406" spans="1:13" ht="15.75" customHeight="1" x14ac:dyDescent="0.15">
      <c r="A406" s="40"/>
      <c r="F406" s="40"/>
      <c r="G406" s="42"/>
      <c r="H406" s="42"/>
      <c r="I406" s="42"/>
      <c r="J406" s="42"/>
      <c r="K406" s="40"/>
      <c r="L406" s="42"/>
      <c r="M406" s="40"/>
    </row>
    <row r="407" spans="1:13" ht="15.75" customHeight="1" x14ac:dyDescent="0.15">
      <c r="A407" s="40"/>
      <c r="F407" s="40"/>
      <c r="G407" s="42"/>
      <c r="H407" s="42"/>
      <c r="I407" s="42"/>
      <c r="J407" s="42"/>
      <c r="K407" s="40"/>
      <c r="L407" s="42"/>
      <c r="M407" s="40"/>
    </row>
    <row r="408" spans="1:13" ht="15.75" customHeight="1" x14ac:dyDescent="0.15">
      <c r="A408" s="40"/>
      <c r="F408" s="40"/>
      <c r="G408" s="42"/>
      <c r="H408" s="42"/>
      <c r="I408" s="42"/>
      <c r="J408" s="42"/>
      <c r="K408" s="40"/>
      <c r="L408" s="42"/>
      <c r="M408" s="40"/>
    </row>
    <row r="409" spans="1:13" ht="15.75" customHeight="1" x14ac:dyDescent="0.15">
      <c r="A409" s="40"/>
      <c r="F409" s="40"/>
      <c r="G409" s="42"/>
      <c r="H409" s="42"/>
      <c r="I409" s="42"/>
      <c r="J409" s="42"/>
      <c r="K409" s="40"/>
      <c r="L409" s="42"/>
      <c r="M409" s="40"/>
    </row>
    <row r="410" spans="1:13" ht="15.75" customHeight="1" x14ac:dyDescent="0.15">
      <c r="A410" s="40"/>
      <c r="F410" s="40"/>
      <c r="G410" s="42"/>
      <c r="H410" s="42"/>
      <c r="I410" s="42"/>
      <c r="J410" s="42"/>
      <c r="K410" s="40"/>
      <c r="L410" s="42"/>
      <c r="M410" s="40"/>
    </row>
    <row r="411" spans="1:13" ht="15.75" customHeight="1" x14ac:dyDescent="0.15">
      <c r="A411" s="40"/>
      <c r="F411" s="40"/>
      <c r="G411" s="42"/>
      <c r="H411" s="42"/>
      <c r="I411" s="42"/>
      <c r="J411" s="42"/>
      <c r="K411" s="40"/>
      <c r="L411" s="42"/>
      <c r="M411" s="40"/>
    </row>
    <row r="412" spans="1:13" ht="15.75" customHeight="1" x14ac:dyDescent="0.15">
      <c r="A412" s="40"/>
      <c r="F412" s="40"/>
      <c r="G412" s="42"/>
      <c r="H412" s="42"/>
      <c r="I412" s="42"/>
      <c r="J412" s="42"/>
      <c r="K412" s="40"/>
      <c r="L412" s="42"/>
      <c r="M412" s="40"/>
    </row>
    <row r="413" spans="1:13" ht="15.75" customHeight="1" x14ac:dyDescent="0.15">
      <c r="A413" s="40"/>
      <c r="F413" s="40"/>
      <c r="G413" s="42"/>
      <c r="H413" s="42"/>
      <c r="I413" s="42"/>
      <c r="J413" s="42"/>
      <c r="K413" s="40"/>
      <c r="L413" s="42"/>
      <c r="M413" s="40"/>
    </row>
    <row r="414" spans="1:13" ht="15.75" customHeight="1" x14ac:dyDescent="0.15">
      <c r="A414" s="40"/>
      <c r="F414" s="40"/>
      <c r="G414" s="42"/>
      <c r="H414" s="42"/>
      <c r="I414" s="42"/>
      <c r="J414" s="42"/>
      <c r="K414" s="40"/>
      <c r="L414" s="42"/>
      <c r="M414" s="40"/>
    </row>
    <row r="415" spans="1:13" ht="15.75" customHeight="1" x14ac:dyDescent="0.15">
      <c r="A415" s="40"/>
      <c r="F415" s="40"/>
      <c r="G415" s="42"/>
      <c r="H415" s="42"/>
      <c r="I415" s="42"/>
      <c r="J415" s="42"/>
      <c r="K415" s="40"/>
      <c r="L415" s="42"/>
      <c r="M415" s="40"/>
    </row>
    <row r="416" spans="1:13" ht="15.75" customHeight="1" x14ac:dyDescent="0.15">
      <c r="A416" s="40"/>
      <c r="F416" s="40"/>
      <c r="G416" s="42"/>
      <c r="H416" s="42"/>
      <c r="I416" s="42"/>
      <c r="J416" s="42"/>
      <c r="K416" s="40"/>
      <c r="L416" s="42"/>
      <c r="M416" s="40"/>
    </row>
    <row r="417" spans="1:13" ht="15.75" customHeight="1" x14ac:dyDescent="0.15">
      <c r="A417" s="40"/>
      <c r="F417" s="40"/>
      <c r="G417" s="42"/>
      <c r="H417" s="42"/>
      <c r="I417" s="42"/>
      <c r="J417" s="42"/>
      <c r="K417" s="40"/>
      <c r="L417" s="42"/>
      <c r="M417" s="40"/>
    </row>
    <row r="418" spans="1:13" ht="15.75" customHeight="1" x14ac:dyDescent="0.15">
      <c r="A418" s="40"/>
      <c r="F418" s="40"/>
      <c r="G418" s="42"/>
      <c r="H418" s="42"/>
      <c r="I418" s="42"/>
      <c r="J418" s="42"/>
      <c r="K418" s="40"/>
      <c r="L418" s="42"/>
      <c r="M418" s="40"/>
    </row>
    <row r="419" spans="1:13" ht="15.75" customHeight="1" x14ac:dyDescent="0.15">
      <c r="A419" s="40"/>
      <c r="F419" s="40"/>
      <c r="G419" s="42"/>
      <c r="H419" s="42"/>
      <c r="I419" s="42"/>
      <c r="J419" s="42"/>
      <c r="K419" s="40"/>
      <c r="L419" s="42"/>
      <c r="M419" s="40"/>
    </row>
    <row r="420" spans="1:13" ht="15.75" customHeight="1" x14ac:dyDescent="0.15">
      <c r="A420" s="40"/>
      <c r="F420" s="40"/>
      <c r="G420" s="42"/>
      <c r="H420" s="42"/>
      <c r="I420" s="42"/>
      <c r="J420" s="42"/>
      <c r="K420" s="40"/>
      <c r="L420" s="42"/>
      <c r="M420" s="40"/>
    </row>
    <row r="421" spans="1:13" ht="15.75" customHeight="1" x14ac:dyDescent="0.15">
      <c r="A421" s="40"/>
      <c r="F421" s="40"/>
      <c r="G421" s="42"/>
      <c r="H421" s="42"/>
      <c r="I421" s="42"/>
      <c r="J421" s="42"/>
      <c r="K421" s="40"/>
      <c r="L421" s="42"/>
      <c r="M421" s="40"/>
    </row>
    <row r="422" spans="1:13" ht="15.75" customHeight="1" x14ac:dyDescent="0.15">
      <c r="A422" s="40"/>
      <c r="F422" s="40"/>
      <c r="G422" s="42"/>
      <c r="H422" s="42"/>
      <c r="I422" s="42"/>
      <c r="J422" s="42"/>
      <c r="K422" s="40"/>
      <c r="L422" s="42"/>
      <c r="M422" s="40"/>
    </row>
  </sheetData>
  <sheetProtection sheet="1" formatCells="0" formatColumns="0" formatRows="0" insertColumns="0" insertRows="0" insertHyperlinks="0" deleteColumns="0" deleteRows="0" sort="0" autoFilter="0" pivotTables="0"/>
  <mergeCells count="10">
    <mergeCell ref="B1:G1"/>
    <mergeCell ref="G10:J10"/>
    <mergeCell ref="G15:J15"/>
    <mergeCell ref="C15:E15"/>
    <mergeCell ref="G16:H16"/>
    <mergeCell ref="I16:J16"/>
    <mergeCell ref="G12:H12"/>
    <mergeCell ref="G11:H11"/>
    <mergeCell ref="I11:J11"/>
    <mergeCell ref="I12:J12"/>
  </mergeCells>
  <conditionalFormatting sqref="B1:G1">
    <cfRule type="expression" dxfId="70" priority="145">
      <formula>(MAX(H1,J1)&lt;0.6)</formula>
    </cfRule>
  </conditionalFormatting>
  <conditionalFormatting sqref="C17:E17 C19:E19 G19:G25 C25:E25 I25 C30:E30 G30 I30 G32 I32 G56 C57:E60 C67:E505 I56">
    <cfRule type="expression" dxfId="69" priority="1358">
      <formula>AND(IF($A17="+",1),IF(C17&gt;=$C$6,1),IF(C17&lt;=$D$6,1))</formula>
    </cfRule>
  </conditionalFormatting>
  <conditionalFormatting sqref="C17:E17 C19:E19 G19:G25 C25:E25 I25 C30:E30 G30 I30 G32 I32 G56 I56 C57:E60 C67:E505">
    <cfRule type="expression" dxfId="68" priority="1359">
      <formula>AND(IF($A17="+",1),IF(C17&gt;=$C$5,1),IF(C17&lt;=$D$5,1))</formula>
    </cfRule>
    <cfRule type="expression" dxfId="67" priority="1356">
      <formula>AND(IF(#REF!="0",1),IF(OFFSET(C$17,MATCH("+",$A$17:$A19,1)-1,0)&gt;=$C$7,1),IF(OFFSET(C$17,MATCH("+",$A$17:$A19,1)-1,0)&lt;=$D$7,1))</formula>
    </cfRule>
  </conditionalFormatting>
  <conditionalFormatting sqref="C17:E25 I18:I27 G18:G32 C29:E32 I30:I32 G56 C56:E60 C67:E505">
    <cfRule type="expression" dxfId="66" priority="1357">
      <formula>AND(IF($A17="+",1),IF(C17&gt;=$C$7,1),IF(C17&lt;=$D$7,1))</formula>
    </cfRule>
  </conditionalFormatting>
  <conditionalFormatting sqref="C18:E18 G18 I18 I26 C28:E29 J29 G31 I31 C31:E32 J32">
    <cfRule type="expression" dxfId="65" priority="1415">
      <formula>AND(IF($A18="+",1),IF(C18&gt;=$C$5,1),IF(C18&lt;=$D$5,1))</formula>
    </cfRule>
  </conditionalFormatting>
  <conditionalFormatting sqref="C20:E20">
    <cfRule type="expression" dxfId="64" priority="1392">
      <formula>AND(IF(#REF!="0",1),IF(OFFSET(C$17,MATCH("+",$A$17:$A25,1)-1,0)&gt;=$C$7,1),IF(OFFSET(C$17,MATCH("+",$A$17:$A25,1)-1,0)&lt;=$D$7,1))</formula>
    </cfRule>
    <cfRule type="expression" dxfId="63" priority="1394">
      <formula>AND(IF($A20="+",1),IF(C20&gt;=$C$6,1),IF(C20&lt;=$D$6,1))</formula>
    </cfRule>
    <cfRule type="expression" dxfId="62" priority="1395">
      <formula>AND(IF($A20="+",1),IF(C20&gt;=$C$5,1),IF(C20&lt;=$D$5,1))</formula>
    </cfRule>
  </conditionalFormatting>
  <conditionalFormatting sqref="C21:E21 C23:E23 C28:E28">
    <cfRule type="expression" dxfId="61" priority="4667">
      <formula>AND(IF($A21="+",1),IF(C21&gt;=$C$5,1),IF(C21&lt;=$D$5,1))</formula>
    </cfRule>
    <cfRule type="expression" dxfId="60" priority="4666">
      <formula>AND(IF($A21="+",1),IF(C21&gt;=$C$6,1),IF(C21&lt;=$D$6,1))</formula>
    </cfRule>
  </conditionalFormatting>
  <conditionalFormatting sqref="C26:E26">
    <cfRule type="expression" dxfId="59" priority="4971">
      <formula>AND(IF($A26="+",1),IF(C26&gt;=$C$5,1),IF(C26&lt;=$D$5,1))</formula>
    </cfRule>
    <cfRule type="expression" dxfId="58" priority="4970">
      <formula>AND(IF($A26="+",1),IF(C26&gt;=$C$6,1),IF(C26&lt;=$D$6,1))</formula>
    </cfRule>
    <cfRule type="expression" dxfId="57" priority="4968">
      <formula>AND(IF(#REF!="0",1),IF(OFFSET(C$17,MATCH("+",$A$17:$A25,1)-1,0)&gt;=$C$7,1),IF(OFFSET(C$17,MATCH("+",$A$17:$A25,1)-1,0)&lt;=$D$7,1))</formula>
    </cfRule>
  </conditionalFormatting>
  <conditionalFormatting sqref="C26:E28">
    <cfRule type="expression" dxfId="56" priority="4445">
      <formula>AND(IF($A26="+",1),IF(C26&gt;=$C$7,1),IF(C26&lt;=$D$7,1))</formula>
    </cfRule>
  </conditionalFormatting>
  <conditionalFormatting sqref="C27:E27">
    <cfRule type="expression" dxfId="55" priority="4444">
      <formula>AND(IF(#REF!="0",1),IF(OFFSET(C$17,MATCH("+",$A$17:$A25,1)-1,0)&gt;=$C$7,1),IF(OFFSET(C$17,MATCH("+",$A$17:$A25,1)-1,0)&lt;=$D$7,1))</formula>
    </cfRule>
    <cfRule type="expression" dxfId="54" priority="4446">
      <formula>AND(IF($A27="+",1),IF(C27&gt;=$C$6,1),IF(C27&lt;=$D$6,1))</formula>
    </cfRule>
    <cfRule type="expression" dxfId="53" priority="4447">
      <formula>AND(IF($A27="+",1),IF(C27&gt;=$C$5,1),IF(C27&lt;=$D$5,1))</formula>
    </cfRule>
  </conditionalFormatting>
  <conditionalFormatting sqref="C28:E28 C21:E21 C23:E23">
    <cfRule type="expression" dxfId="52" priority="4664">
      <formula>AND(IF(#REF!="0",1),IF(OFFSET(C$17,MATCH("+",$A$17:$A25,1)-1,0)&gt;=$C$7,1),IF(OFFSET(C$17,MATCH("+",$A$17:$A25,1)-1,0)&lt;=$D$7,1))</formula>
    </cfRule>
  </conditionalFormatting>
  <conditionalFormatting sqref="C28:E28 G26:G28 I27 I28:J28 C56:E56">
    <cfRule type="expression" dxfId="51" priority="1432">
      <formula>AND(IF(#REF!="0",1),IF(OFFSET(C$17,MATCH("+",$A$17:$A26,1)-1,0)&gt;=$C$7,1),IF(OFFSET(C$17,MATCH("+",$A$17:$A26,1)-1,0)&lt;=$D$7,1))</formula>
    </cfRule>
  </conditionalFormatting>
  <conditionalFormatting sqref="C28:E28 G26:G28 I27 I28:J28">
    <cfRule type="expression" dxfId="50" priority="1434">
      <formula>AND(IF($A26="+",1),IF(C26&gt;=$C$6,1),IF(C26&lt;=$D$6,1))</formula>
    </cfRule>
  </conditionalFormatting>
  <conditionalFormatting sqref="C28:E28">
    <cfRule type="expression" dxfId="49" priority="1433">
      <formula>AND(IF($A28="+",1),IF(C28&gt;=$C$7,1),IF(C28&lt;=$D$7,1))</formula>
    </cfRule>
  </conditionalFormatting>
  <conditionalFormatting sqref="C28:E29 C18:E18 G18 I18 I26 J29 G31 I31 C31:E32 J32 C35:E35 G35 I35 C37:E37 G37 I37 C39:E40 G39:G40 I39:I40 C43:E44 C52:E55">
    <cfRule type="expression" dxfId="48" priority="1412">
      <formula>AND(IF(#REF!="0",1),IF(OFFSET(C$17,MATCH("+",$A$17:$A19,1)-1,0)&gt;=$C$7,1),IF(OFFSET(C$17,MATCH("+",$A$17:$A19,1)-1,0)&lt;=$D$7,1))</formula>
    </cfRule>
  </conditionalFormatting>
  <conditionalFormatting sqref="C28:E29 J32 C18:E18 G18 I18 I26 J29 G31 I31 C31:E32">
    <cfRule type="expression" dxfId="47" priority="1414">
      <formula>AND(IF($A18="+",1),IF(C18&gt;=$C$6,1),IF(C18&lt;=$D$6,1))</formula>
    </cfRule>
  </conditionalFormatting>
  <conditionalFormatting sqref="C28:E29 J32">
    <cfRule type="expression" dxfId="46" priority="1413">
      <formula>AND(IF($A28="+",1),IF(C28&gt;=$C$7,1),IF(C28&lt;=$D$7,1))</formula>
    </cfRule>
  </conditionalFormatting>
  <conditionalFormatting sqref="C33:E33 G34 I34 C38:E38 G38 I38 C41:E41 G41:G42 I41:I42 C45:E45">
    <cfRule type="expression" dxfId="45" priority="6350">
      <formula>AND(IF(#REF!="0",1),IF(OFFSET(C$17,MATCH("+",$A$17:$A35,1)-1,0)&gt;=$C$7,1),IF(OFFSET(C$17,MATCH("+",$A$17:$A35,1)-1,0)&lt;=$D$7,1))</formula>
    </cfRule>
  </conditionalFormatting>
  <conditionalFormatting sqref="C33:E33 G34:G35 I34:I35 C35:E35 C37:E41 G37:G42 I37:I42 C43:E45 C52:E54">
    <cfRule type="expression" dxfId="44" priority="6313">
      <formula>AND(IF($A34="+",1),IF(C33&gt;=$C$5,1),IF(C33&lt;=$D$5,1))</formula>
    </cfRule>
  </conditionalFormatting>
  <conditionalFormatting sqref="C33:E41 G34:G35 I34:I42 G37:G42 C43:E45 G52 I52">
    <cfRule type="expression" dxfId="43" priority="6342">
      <formula>AND(IF($A34="+",1),IF(C33&gt;=$C$6,1),IF(C33&lt;=$D$6,1))</formula>
    </cfRule>
  </conditionalFormatting>
  <conditionalFormatting sqref="C33:E54 I34:I54 G37:G54 G34:G35">
    <cfRule type="expression" dxfId="42" priority="6309">
      <formula>AND(IF($A34="+",1),IF(C33&gt;=$C$7,1),IF(C33&lt;=$D$7,1))</formula>
    </cfRule>
  </conditionalFormatting>
  <conditionalFormatting sqref="C34:E34 C36:E36 I36 G52 I52">
    <cfRule type="expression" dxfId="41" priority="6403">
      <formula>AND(IF($A35="+",1),IF(C34&gt;=$C$5,1),IF(C34&lt;=$D$5,1))</formula>
    </cfRule>
    <cfRule type="expression" dxfId="40" priority="6402">
      <formula>AND(IF(#REF!="0",1),IF(OFFSET(C$17,MATCH("+",$A$17:$A38,1)-1,0)&gt;=$C$7,1),IF(OFFSET(C$17,MATCH("+",$A$17:$A38,1)-1,0)&lt;=$D$7,1))</formula>
    </cfRule>
  </conditionalFormatting>
  <conditionalFormatting sqref="C36:E36 C47:E48">
    <cfRule type="expression" dxfId="39" priority="6329">
      <formula>AND(IF(#REF!="0",1),IF(OFFSET(C$17,MATCH("+",$A$17:$A41,1)-1,0)&gt;=$C$7,1),IF(OFFSET(C$17,MATCH("+",$A$17:$A41,1)-1,0)&lt;=$D$7,1))</formula>
    </cfRule>
  </conditionalFormatting>
  <conditionalFormatting sqref="C36:E36">
    <cfRule type="expression" dxfId="38" priority="6325">
      <formula>AND(IF($A37="+",1),IF(C36&gt;=$C$6,1),IF(C36&lt;=$D$6,1))</formula>
    </cfRule>
    <cfRule type="expression" dxfId="37" priority="6326">
      <formula>AND(IF($A37="+",1),IF(C36&gt;=$C$5,1),IF(C36&lt;=$D$5,1))</formula>
    </cfRule>
  </conditionalFormatting>
  <conditionalFormatting sqref="C38:E40 G53:G54 I53:I54">
    <cfRule type="expression" dxfId="36" priority="6300">
      <formula>AND(IF(#REF!="0",1),IF(OFFSET(C$17,MATCH("+",$A$17:$A41,1)-1,0)&gt;=$C$7,1),IF(OFFSET(C$17,MATCH("+",$A$17:$A41,1)-1,0)&lt;=$D$7,1))</formula>
    </cfRule>
    <cfRule type="expression" dxfId="35" priority="6301">
      <formula>AND(IF($A39="+",1),IF(C38&gt;=$C$6,1),IF(C38&lt;=$D$6,1))</formula>
    </cfRule>
    <cfRule type="expression" dxfId="34" priority="6302">
      <formula>AND(IF($A39="+",1),IF(C38&gt;=$C$5,1),IF(C38&lt;=$D$5,1))</formula>
    </cfRule>
  </conditionalFormatting>
  <conditionalFormatting sqref="C42:E42 G43 I43">
    <cfRule type="expression" dxfId="33" priority="6364">
      <formula>AND(IF($A43="+",1),IF(C42&gt;=$C$5,1),IF(C42&lt;=$D$5,1))</formula>
    </cfRule>
    <cfRule type="expression" dxfId="32" priority="6363">
      <formula>AND(IF($A43="+",1),IF(C42&gt;=$C$6,1),IF(C42&lt;=$D$6,1))</formula>
    </cfRule>
    <cfRule type="expression" dxfId="31" priority="6362">
      <formula>AND(IF(#REF!="0",1),IF(OFFSET(C$17,MATCH("+",$A$17:$A81,1)-1,0)&gt;=$C$7,1),IF(OFFSET(C$17,MATCH("+",$A$17:$A81,1)-1,0)&lt;=$D$7,1))</formula>
    </cfRule>
  </conditionalFormatting>
  <conditionalFormatting sqref="C47:E51">
    <cfRule type="expression" dxfId="30" priority="6324">
      <formula>AND(IF($A48="+",1),IF(C47&gt;=$C$5,1),IF(C47&lt;=$D$5,1))</formula>
    </cfRule>
  </conditionalFormatting>
  <conditionalFormatting sqref="C47:E54">
    <cfRule type="expression" dxfId="29" priority="6323">
      <formula>AND(IF($A48="+",1),IF(C47&gt;=$C$6,1),IF(C47&lt;=$D$6,1))</formula>
    </cfRule>
  </conditionalFormatting>
  <conditionalFormatting sqref="C49:E51">
    <cfRule type="expression" dxfId="28" priority="6322">
      <formula>AND(IF(#REF!="0",1),IF(OFFSET(C$17,MATCH("+",$A$17:$A55,1)-1,0)&gt;=$C$7,1),IF(OFFSET(C$17,MATCH("+",$A$17:$A55,1)-1,0)&lt;=$D$7,1))</formula>
    </cfRule>
  </conditionalFormatting>
  <conditionalFormatting sqref="C55:E55 G55 I55">
    <cfRule type="expression" dxfId="27" priority="6432">
      <formula>AND(IF($A33="+",1),IF(C55&gt;=$C$5,1),IF(C55&lt;=$D$5,1))</formula>
    </cfRule>
    <cfRule type="expression" dxfId="26" priority="6216">
      <formula>AND(IF($A33="+",1),IF(C55&gt;=$C$7,1),IF(C55&lt;=$D$7,1))</formula>
    </cfRule>
  </conditionalFormatting>
  <conditionalFormatting sqref="C56:E56">
    <cfRule type="expression" dxfId="25" priority="6179">
      <formula>AND(IF($A56="+",1),IF(C56&gt;=$C$6,1),IF(C56&lt;=$D$6,1))</formula>
    </cfRule>
    <cfRule type="expression" dxfId="24" priority="6199">
      <formula>AND(IF($A56="+",1),IF(C56&gt;=$C$5,1),IF(C56&lt;=$D$5,1))</formula>
    </cfRule>
  </conditionalFormatting>
  <conditionalFormatting sqref="G26:G28 I27 C28:E28 I28:J28">
    <cfRule type="expression" dxfId="23" priority="1435">
      <formula>AND(IF($A26="+",1),IF(C26&gt;=$C$5,1),IF(C26&lt;=$D$5,1))</formula>
    </cfRule>
  </conditionalFormatting>
  <conditionalFormatting sqref="G36">
    <cfRule type="expression" dxfId="22" priority="6373">
      <formula>AND(IF(#REF!="+",1),IF(G36&gt;=$C$6,1),IF(G36&lt;=$D$6,1))</formula>
    </cfRule>
    <cfRule type="expression" dxfId="21" priority="6374">
      <formula>AND(IF(#REF!="+",1),IF(G36&gt;=$C$5,1),IF(G36&lt;=$D$5,1))</formula>
    </cfRule>
    <cfRule type="expression" dxfId="20" priority="6371">
      <formula>AND(IF(#REF!="0",1),IF(OFFSET(G$17,MATCH("+",$A$17:$A39,1)-1,0)&gt;=$C$7,1),IF(OFFSET(G$17,MATCH("+",$A$17:$A39,1)-1,0)&lt;=$D$7,1))</formula>
    </cfRule>
    <cfRule type="expression" dxfId="19" priority="6372">
      <formula>AND(IF(#REF!="+",1),IF(G36&gt;=$C$7,1),IF(G36&lt;=$D$7,1))</formula>
    </cfRule>
  </conditionalFormatting>
  <conditionalFormatting sqref="G44 I44">
    <cfRule type="expression" dxfId="18" priority="6377">
      <formula>AND(IF($A45="+",1),IF(G44&gt;=$C$5,1),IF(G44&lt;=$D$5,1))</formula>
    </cfRule>
    <cfRule type="expression" dxfId="17" priority="6376">
      <formula>AND(IF($A45="+",1),IF(G44&gt;=$C$6,1),IF(G44&lt;=$D$6,1))</formula>
    </cfRule>
    <cfRule type="expression" dxfId="16" priority="6375">
      <formula>AND(IF(#REF!="0",1),IF(OFFSET(G$17,MATCH("+",$A$17:$A58,1)-1,0)&gt;=$C$7,1),IF(OFFSET(G$17,MATCH("+",$A$17:$A58,1)-1,0)&lt;=$D$7,1))</formula>
    </cfRule>
  </conditionalFormatting>
  <conditionalFormatting sqref="G45 I45 C46:E46">
    <cfRule type="expression" dxfId="15" priority="6383">
      <formula>AND(IF($A46="+",1),IF(C45&gt;=$C$5,1),IF(C45&lt;=$D$5,1))</formula>
    </cfRule>
    <cfRule type="expression" dxfId="14" priority="6381">
      <formula>AND(IF(#REF!="0",1),IF(OFFSET(C$17,MATCH("+",$A$17:$A55,1)-1,0)&gt;=$C$7,1),IF(OFFSET(C$17,MATCH("+",$A$17:$A55,1)-1,0)&lt;=$D$7,1))</formula>
    </cfRule>
    <cfRule type="expression" dxfId="13" priority="6382">
      <formula>AND(IF($A46="+",1),IF(C45&gt;=$C$6,1),IF(C45&lt;=$D$6,1))</formula>
    </cfRule>
  </conditionalFormatting>
  <conditionalFormatting sqref="G46 I46">
    <cfRule type="expression" dxfId="12" priority="6390">
      <formula>AND(IF(#REF!="0",1),IF(OFFSET(G$17,MATCH("+",$A$17:$A53,1)-1,0)&gt;=$C$7,1),IF(OFFSET(G$17,MATCH("+",$A$17:$A53,1)-1,0)&lt;=$D$7,1))</formula>
    </cfRule>
    <cfRule type="expression" dxfId="11" priority="6391">
      <formula>AND(IF($A47="+",1),IF(G46&gt;=$C$6,1),IF(G46&lt;=$D$6,1))</formula>
    </cfRule>
    <cfRule type="expression" dxfId="10" priority="6392">
      <formula>AND(IF($A47="+",1),IF(G46&gt;=$C$5,1),IF(G46&lt;=$D$5,1))</formula>
    </cfRule>
  </conditionalFormatting>
  <conditionalFormatting sqref="G47:G51 I47:I51">
    <cfRule type="expression" dxfId="9" priority="6396">
      <formula>AND(IF(#REF!="0",1),IF(OFFSET(G$17,MATCH("+",$A$17:$A56,1)-1,0)&gt;=$C$7,1),IF(OFFSET(G$17,MATCH("+",$A$17:$A56,1)-1,0)&lt;=$D$7,1))</formula>
    </cfRule>
    <cfRule type="expression" dxfId="8" priority="6397">
      <formula>AND(IF($A48="+",1),IF(G47&gt;=$C$6,1),IF(G47&lt;=$D$6,1))</formula>
    </cfRule>
    <cfRule type="expression" dxfId="7" priority="6398">
      <formula>AND(IF($A48="+",1),IF(G47&gt;=$C$5,1),IF(G47&lt;=$D$5,1))</formula>
    </cfRule>
  </conditionalFormatting>
  <conditionalFormatting sqref="G55 I55 C55:E55">
    <cfRule type="expression" dxfId="6" priority="6431">
      <formula>AND(IF($A33="+",1),IF(C55&gt;=$C$6,1),IF(C55&lt;=$D$6,1))</formula>
    </cfRule>
  </conditionalFormatting>
  <conditionalFormatting sqref="G55 I55">
    <cfRule type="expression" dxfId="5" priority="6430">
      <formula>AND(IF(#REF!="0",1),IF(OFFSET(G$17,MATCH("+",$A$17:$A56,1)-1,0)&gt;=$C$7,1),IF(OFFSET(G$17,MATCH("+",$A$17:$A56,1)-1,0)&lt;=$D$7,1))</formula>
    </cfRule>
  </conditionalFormatting>
  <conditionalFormatting sqref="I19:I24 C22:E22 C24:E24 C29:E29 G29 I29">
    <cfRule type="expression" dxfId="4" priority="1407">
      <formula>AND(IF($A19="+",1),IF(C19&gt;=$C$5,1),IF(C19&lt;=$D$5,1))</formula>
    </cfRule>
    <cfRule type="expression" dxfId="3" priority="1404">
      <formula>AND(IF(#REF!="0",1),IF(OFFSET(C$17,MATCH("+",$A$17:$A22,1)-1,0)&gt;=$C$7,1),IF(OFFSET(C$17,MATCH("+",$A$17:$A22,1)-1,0)&lt;=$D$7,1))</formula>
    </cfRule>
  </conditionalFormatting>
  <conditionalFormatting sqref="I29 I19:I24 C22:E22 C24:E24 C29:E29 G29">
    <cfRule type="expression" dxfId="2" priority="1406">
      <formula>AND(IF($A19="+",1),IF(C19&gt;=$C$6,1),IF(C19&lt;=$D$6,1))</formula>
    </cfRule>
  </conditionalFormatting>
  <conditionalFormatting sqref="I56">
    <cfRule type="expression" dxfId="1" priority="6167">
      <formula>AND(IF($A56="+",1),IF(I56&gt;=$C$7,1),IF(I56&lt;=$D$7,1))</formula>
    </cfRule>
  </conditionalFormatting>
  <conditionalFormatting sqref="I28:J29">
    <cfRule type="expression" dxfId="0" priority="1405">
      <formula>AND(IF($A28="+",1),IF(I28&gt;=$C$7,1),IF(I28&lt;=$D$7,1))</formula>
    </cfRule>
  </conditionalFormatting>
  <dataValidations count="5">
    <dataValidation allowBlank="1" showInputMessage="1" showErrorMessage="1" promptTitle="Levels" prompt="Novice - select [N] cell for details_x000a_Intermediate - select [I] cell for details_x000a_Advanced - select [A] cell for details" sqref="B10" xr:uid="{00000000-0002-0000-0000-000000000000}"/>
    <dataValidation type="list" showDropDown="1" showInputMessage="1" showErrorMessage="1" errorTitle="Incorrect Level" error="Please, set N for Novice, I for Intermediate or A for Advanced level evaluation" sqref="G16 I16" xr:uid="{00000000-0002-0000-0000-000001000000}">
      <formula1>$C$16:$E$16</formula1>
    </dataValidation>
    <dataValidation allowBlank="1" showInputMessage="1" promptTitle="Novice Level" prompt="Knows framework basic concepts, able to wtite simple logic using that framework " sqref="C16" xr:uid="{00000000-0002-0000-0000-000002000000}"/>
    <dataValidation allowBlank="1" showInputMessage="1" promptTitle="Intermediate Level" prompt="Knows advanced framework concepts, uses framework's sophisticated features, able to wtite complex logic using that framework" sqref="D16" xr:uid="{00000000-0002-0000-0000-000003000000}"/>
    <dataValidation allowBlank="1" showInputMessage="1" promptTitle="Advanced Level" prompt="Knows internal framework mechanics, has clear understanding of its pros and cons, able to write framework-optimized code and resolve performance issues" sqref="E16" xr:uid="{00000000-0002-0000-0000-000004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99" id="{16B53C75-4D5A-40BD-A288-7D7F799AB91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G11</xm:sqref>
        </x14:conditionalFormatting>
        <x14:conditionalFormatting xmlns:xm="http://schemas.microsoft.com/office/excel/2006/main">
          <x14:cfRule type="iconSet" priority="400" id="{E6ED9F18-FA19-4BA4-8CD7-383B816AB74E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 gte="0">
                <xm:f>5</xm:f>
              </x14:cfvo>
              <x14:cfIcon iconSet="3Symbols" iconId="1"/>
              <x14:cfIcon iconSet="NoIcons" iconId="0"/>
              <x14:cfIcon iconSet="3Symbols" iconId="1"/>
            </x14:iconSet>
          </x14:cfRule>
          <xm:sqref>I16 G16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Yauheni Pas</dc:creator>
  <cp:keywords/>
  <dc:description/>
  <cp:lastModifiedBy>Matusevich Roma</cp:lastModifiedBy>
  <cp:revision/>
  <dcterms:created xsi:type="dcterms:W3CDTF">2014-11-03T12:51:45Z</dcterms:created>
  <dcterms:modified xsi:type="dcterms:W3CDTF">2025-07-10T14:35:55Z</dcterms:modified>
  <cp:category/>
  <cp:contentStatus/>
</cp:coreProperties>
</file>